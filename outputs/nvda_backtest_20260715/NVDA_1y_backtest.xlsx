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a84b6f51c43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b02f3124ee41d7"/>
    <x:sheet xmlns:r="http://schemas.openxmlformats.org/officeDocument/2006/relationships" name="Assumptions" sheetId="2" r:id="R8feef4e17f0a4a91"/>
    <x:sheet xmlns:r="http://schemas.openxmlformats.org/officeDocument/2006/relationships" name="Data" sheetId="3" r:id="Rab9f727ff079437c"/>
    <x:sheet xmlns:r="http://schemas.openxmlformats.org/officeDocument/2006/relationships" name="Checks" sheetId="4" r:id="R676f73a881a047d4"/>
    <x:sheet xmlns:r="http://schemas.openxmlformats.org/officeDocument/2006/relationships" name="Sources" sheetId="5" r:id="Rcc4a555c93ff42a5"/>
    <x:sheet xmlns:r="http://schemas.openxmlformats.org/officeDocument/2006/relationships" name="Chart Data" sheetId="6" r:id="Ra578d55c0e384a53"/>
  </x:sheets>
</x:workbook>
</file>

<file path=xl/comments1.xml><?xml version="1.0" encoding="utf-8"?>
<x:comments xmlns:x="http://schemas.openxmlformats.org/spreadsheetml/2006/main">
  <x:authors>
    <x:author>tc={6A72C1C3-20CC-BAEE-7242-B2C14EF9ECA0}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편도 거래비용 가정입니다. 진입과 청산 각각에 적용됩니다.</x:t>
        </x:r>
      </x:text>
    </x:comment>
  </x:commentList>
</x:comments>
</file>

<file path=xl/comments2.xml><?xml version="1.0" encoding="utf-8"?>
<x:comments xmlns:x="http://schemas.openxmlformats.org/spreadsheetml/2006/main">
  <x:authors>
    <x:author>tc={60D9FA8B-33D5-A933-E67E-10F485DF5DE3}</x:author>
  </x:authors>
  <x:commentList>
    <x:comment ref="E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가격 데이터는 Yahoo Finance chart endpoint에서 2026-07-15T08:59:15.808Z에 조회했습니다.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%;[Red](0.00%);-"/>
    <x:numFmt numFmtId="201" formatCode="0.0000"/>
    <x:numFmt numFmtId="202" formatCode="yyyy-mm-dd"/>
    <x:numFmt numFmtId="203" formatCode="$0.00;[Red]($0.00);-"/>
    <x:numFmt numFmtId="204" formatCode="#,##0;[Red](#,##0);-"/>
    <x:numFmt numFmtId="205" formatCode="0"/>
    <x:numFmt numFmtId="206" formatCode="0.00x;[Red](0.00x);-"/>
    <x:numFmt numFmtId="207" formatCode="0.00000000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F172A"/>
      <x:name val="Carlito"/>
    </x:font>
    <x:font>
      <x:sz val="11"/>
      <x:color rgb="FF008000"/>
      <x:name val="Carlito"/>
    </x:font>
    <x:font>
      <x:b/>
      <x:sz val="18"/>
      <x:color rgb="FFFFFFFF"/>
      <x:name val="Carlito"/>
    </x:font>
    <x:font>
      <x:i/>
      <x:sz val="11"/>
      <x:color rgb="FF0F172A"/>
      <x:name val="Carlito"/>
    </x:font>
    <x:font>
      <x:b/>
      <x:sz val="11"/>
      <x:color rgb="FF008000"/>
      <x:name val="Carlito"/>
    </x:font>
    <x:font>
      <x:sz val="9"/>
      <x:color rgb="FF64748B"/>
      <x:name val="Carlito"/>
    </x:font>
    <x:font>
      <x:sz val="11"/>
      <x:color rgb="FFDC262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2563EB"/>
      </x:patternFill>
    </x:fill>
    <x:fill>
      <x:patternFill patternType="solid">
        <x:fgColor rgb="FFFEF9C3"/>
      </x:patternFill>
    </x:fill>
    <x:fill>
      <x:patternFill patternType="solid">
        <x:fgColor rgb="FFF1F5F9"/>
      </x:patternFill>
    </x:fill>
    <x:fill>
      <x:patternFill patternType="solid">
        <x:fgColor rgb="FFDBEAFE"/>
      </x:patternFill>
    </x:fill>
    <x:fill>
      <x:patternFill patternType="solid">
        <x:fgColor rgb="FFEFF6FF"/>
      </x:patternFill>
    </x:fill>
  </x:fills>
  <x:borders count="12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3" fillId="4" borderId="0" xfId="0" applyNumberFormat="1" applyFont="1" applyFill="1" applyBorder="1"/>
    <x:xf numFmtId="201" fontId="3" fillId="4" borderId="0" xfId="0" applyNumberFormat="1" applyFont="1" applyFill="1" applyBorder="1"/>
    <x:xf numFmtId="20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3" fillId="0" borderId="0" xfId="0" applyNumberFormat="1" applyFont="1" applyFill="1" applyBorder="1"/>
    <x:xf numFmtId="0" fontId="6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4" fillId="5" borderId="7" xfId="0" applyNumberFormat="1" applyFont="1" applyFill="1" applyBorder="1"/>
    <x:xf numFmtId="0" fontId="0" fillId="0" borderId="8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0" fillId="0" borderId="0" xfId="0" applyNumberFormat="1" applyFont="1" applyFill="1" applyBorder="1"/>
    <x:xf numFmtId="205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9" fillId="5" borderId="10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202" fontId="6" fillId="0" borderId="10" xfId="0" applyNumberFormat="1" applyFont="1" applyFill="1" applyBorder="1"/>
    <x:xf numFmtId="202" fontId="9" fillId="5" borderId="1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7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200" fontId="6" fillId="0" borderId="2" xfId="0" applyNumberFormat="1" applyFont="1" applyFill="1" applyBorder="1"/>
    <x:xf numFmtId="200" fontId="6" fillId="7" borderId="7" xfId="0" applyNumberFormat="1" applyFont="1" applyFill="1" applyBorder="1"/>
    <x:xf numFmtId="206" fontId="6" fillId="0" borderId="2" xfId="0" applyNumberFormat="1" applyFont="1" applyFill="1" applyBorder="1"/>
    <x:xf numFmtId="206" fontId="6" fillId="7" borderId="7" xfId="0" applyNumberFormat="1" applyFont="1" applyFill="1" applyBorder="1"/>
    <x:xf numFmtId="205" fontId="6" fillId="0" borderId="2" xfId="0" applyNumberFormat="1" applyFont="1" applyFill="1" applyBorder="1"/>
    <x:xf numFmtId="205" fontId="6" fillId="7" borderId="7" xfId="0" applyNumberFormat="1" applyFont="1" applyFill="1" applyBorder="1"/>
    <x:xf numFmtId="200" fontId="6" fillId="0" borderId="3" xfId="0" applyNumberFormat="1" applyFont="1" applyFill="1" applyBorder="1"/>
    <x:xf numFmtId="200" fontId="6" fillId="7" borderId="8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6" fillId="0" borderId="7" xfId="0" applyNumberFormat="1" applyFont="1" applyFill="1" applyBorder="1"/>
    <x:xf numFmtId="207" fontId="6" fillId="0" borderId="2" xfId="0" applyNumberFormat="1" applyFont="1" applyFill="1" applyBorder="1"/>
    <x:xf numFmtId="207" fontId="0" fillId="0" borderId="2" xfId="0" applyNumberFormat="1" applyFont="1" applyFill="1" applyBorder="1"/>
    <x:xf numFmtId="207" fontId="6" fillId="0" borderId="0" xfId="0" applyNumberFormat="1" applyFont="1" applyFill="1" applyBorder="1"/>
    <x:xf numFmtId="207" fontId="0" fillId="0" borderId="0" xfId="0" applyNumberFormat="1" applyFont="1" applyFill="1" applyBorder="1"/>
    <x:xf numFmtId="202" fontId="6" fillId="0" borderId="0" xfId="0" applyNumberFormat="1" applyFont="1" applyFill="1" applyBorder="1"/>
    <x:xf numFmtId="0" fontId="5" fillId="5" borderId="1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11" fillId="0" borderId="2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443089d6f34d6b" /><Relationship Type="http://schemas.openxmlformats.org/officeDocument/2006/relationships/theme" Target="/xl/theme/theme1.xml" Id="R0297296287ae41f9" /><Relationship Type="http://schemas.openxmlformats.org/officeDocument/2006/relationships/sharedStrings" Target="/xl/sharedStrings.xml" Id="R5b06cfe0378748c3" /><Relationship Type="http://schemas.openxmlformats.org/officeDocument/2006/relationships/worksheet" Target="/xl/worksheets/sheet1.xml" Id="R01b02f3124ee41d7" /><Relationship Type="http://schemas.openxmlformats.org/officeDocument/2006/relationships/worksheet" Target="/xl/worksheets/sheet2.xml" Id="R8feef4e17f0a4a91" /><Relationship Type="http://schemas.openxmlformats.org/officeDocument/2006/relationships/worksheet" Target="/xl/worksheets/sheet3.xml" Id="Rab9f727ff079437c" /><Relationship Type="http://schemas.openxmlformats.org/officeDocument/2006/relationships/worksheet" Target="/xl/worksheets/sheet4.xml" Id="R676f73a881a047d4" /><Relationship Type="http://schemas.openxmlformats.org/officeDocument/2006/relationships/worksheet" Target="/xl/worksheets/sheet5.xml" Id="Rcc4a555c93ff42a5" /><Relationship Type="http://schemas.openxmlformats.org/officeDocument/2006/relationships/worksheet" Target="/xl/worksheets/sheet6.xml" Id="Ra578d55c0e384a53" /><Relationship Type="http://schemas.microsoft.com/office/2017/10/relationships/person" Target="/xl/persons/person.xml" Id="Rab30058473f44f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6a8012a267048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$1 투자금의 누적 성장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매수 후 보유</c:v>
          </c:tx>
          <c:spPr>
            <a:solidFill xmlns:a="http://schemas.openxmlformats.org/drawingml/2006/main">
              <a:srgbClr val="64748B"/>
            </a:solidFill>
          </c:spPr>
          <c:marker>
            <c:symbol val="none"/>
          </c:marker>
          <c:cat>
            <c:strRef>
              <c:f>'Chart Data'!$A$2:$A$14</c:f>
              <c:strCache>
                <c:ptCount val="0"/>
              </c:strCache>
            </c:strRef>
          </c:cat>
          <c:val>
            <c:numRef>
              <c:f>'Chart Data'!$B$2:$B$14</c:f>
              <c:numCache>
                <c:formatCode>0.00x</c:formatCode>
                <c:ptCount val="0"/>
              </c:numCache>
            </c:numRef>
          </c:val>
        </c:ser>
        <c:ser>
          <c:idx val="1"/>
          <c:order val="1"/>
          <c:tx>
            <c:v>SMA 20/50</c:v>
          </c:tx>
          <c:spPr>
            <a:solidFill xmlns:a="http://schemas.openxmlformats.org/drawingml/2006/main">
              <a:srgbClr val="2563EB"/>
            </a:solidFill>
          </c:spPr>
          <c:marker>
            <c:symbol val="none"/>
          </c:marker>
          <c:cat>
            <c:strRef>
              <c:f>'Chart Data'!$A$2:$A$14</c:f>
              <c:strCache>
                <c:ptCount val="0"/>
              </c:strCache>
            </c:strRef>
          </c:cat>
          <c:val>
            <c:numRef>
              <c:f>'Chart Data'!$C$2:$C$14</c:f>
              <c:numCache>
                <c:formatCode>0.00x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.5"/>
          <c:min val="0.8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x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9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a8012a2670489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김현수" id="{9BA75BED-6938-45F2-9E40-F04BF5B3880D}"/>
</xltc:personList>
</file>

<file path=xl/tables/table1.xml><?xml version="1.0" encoding="utf-8"?>
<x:table xmlns:x="http://schemas.openxmlformats.org/spreadsheetml/2006/main" id="1" name="NvdaBacktestData" displayName="NvdaBacktestData" ref="A1:W251" headerRowCount="1" totalsRowCount="0" totalsRowShown="0">
  <x:tableColumns count="23">
    <x:tableColumn id="1" name="Date"/>
    <x:tableColumn id="2" name="Open"/>
    <x:tableColumn id="3" name="High"/>
    <x:tableColumn id="4" name="Low"/>
    <x:tableColumn id="5" name="Close"/>
    <x:tableColumn id="6" name="Adj Close"/>
    <x:tableColumn id="7" name="Volume"/>
    <x:tableColumn id="8" name="Daily Return"/>
    <x:tableColumn id="9" name="SMA Fast"/>
    <x:tableColumn id="10" name="SMA Slow"/>
    <x:tableColumn id="11" name="Signal at Close"/>
    <x:tableColumn id="12" name="Position"/>
    <x:tableColumn id="13" name="Strategy Net Return"/>
    <x:tableColumn id="14" name="Strategy Equity"/>
    <x:tableColumn id="15" name="Buy &amp; Hold Net Return"/>
    <x:tableColumn id="16" name="Buy &amp; Hold Equity"/>
    <x:tableColumn id="17" name="Strategy Peak"/>
    <x:tableColumn id="18" name="Strategy Drawdown"/>
    <x:tableColumn id="19" name="Buy &amp; Hold Peak"/>
    <x:tableColumn id="20" name="Buy &amp; Hold Drawdown"/>
    <x:tableColumn id="21" name="Entry"/>
    <x:tableColumn id="22" name="Exit"/>
    <x:tableColumn id="23" name="Signal Lag Che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7" dT="2026-07-15T08:59:15.81" personId="{9BA75BED-6938-45F2-9E40-F04BF5B3880D}" id="{6A72C1C3-20CC-BAEE-7242-B2C14EF9ECA0}">
    <xltc:text>편도 거래비용 가정입니다. 진입과 청산 각각에 적용됩니다.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E4" dT="2026-07-15T08:59:15.809" personId="{9BA75BED-6938-45F2-9E40-F04BF5B3880D}" id="{60D9FA8B-33D5-A933-E67E-10F485DF5DE3}">
    <xltc:text>가격 데이터는 Yahoo Finance chart endpoint에서 2026-07-15T08:59:15.808Z에 조회했습니다.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b11f61acbe34e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aac2cd6701204b20" /><Relationship Type="http://schemas.openxmlformats.org/officeDocument/2006/relationships/vmlDrawing" Target="/xl/drawings/vmldrawing.vml" Id="R1c706ea13def4824" /><Relationship Type="http://schemas.microsoft.com/office/2017/10/relationships/threadedComment" Target="/xl/threadedcomments/threadedcomment.xml" Id="R068105b367d349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923fcd7c6b345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acbbe3b455374172" /><Relationship Type="http://schemas.openxmlformats.org/officeDocument/2006/relationships/vmlDrawing" Target="/xl/drawings/vmldrawing2.vml" Id="Rd5d2cc90578e4ad6" /><Relationship Type="http://schemas.microsoft.com/office/2017/10/relationships/threadedComment" Target="/xl/threadedcomments/threadedcomment2.xml" Id="R341680b1bc074c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0" customHeight="1">
      <x:c r="A1" s="41" t="str">
        <x:v>NVDA 최근 1년 백테스트</x:v>
      </x:c>
      <x:c r="B1" s="41"/>
      <x:c r="C1" s="41"/>
      <x:c r="D1" s="41"/>
      <x:c r="E1" s="41"/>
      <x:c r="F1" s="41"/>
      <x:c r="G1" s="41"/>
      <x:c r="H1" s="41"/>
      <x:c r="I1" s="41"/>
    </x:row>
    <x:row r="2" ht="28" customHeight="1">
      <x:c r="A2" s="44" t="str">
        <x:v>매수 후 보유 vs. SMA 20/50 · 조정종가 · 신호 다음 거래일 적용 · 편도 거래비용 0.10%</x:v>
      </x:c>
      <x:c r="B2" s="44"/>
      <x:c r="C2" s="44"/>
      <x:c r="D2" s="44"/>
      <x:c r="E2" s="44"/>
      <x:c r="F2" s="44"/>
      <x:c r="G2" s="44"/>
      <x:c r="H2" s="44"/>
      <x:c r="I2" s="44"/>
    </x:row>
    <x:row r="4">
      <x:c r="A4" s="50" t="str">
        <x:v>티커</x:v>
      </x:c>
      <x:c r="B4" s="52" t="str">
        <x:f>'Assumptions'!$B$4</x:f>
        <x:v>NVDA</x:v>
      </x:c>
      <x:c r="C4" s="51" t="str">
        <x:v>시작일</x:v>
      </x:c>
      <x:c r="D4" s="55" t="n">
        <x:f>'Data'!$A$2</x:f>
        <x:v>45853.5625</x:v>
      </x:c>
      <x:c r="E4" s="51" t="str">
        <x:v>종료일</x:v>
      </x:c>
      <x:c r="F4" s="56" t="n">
        <x:f>'Data'!$A$251</x:f>
        <x:v>46216.5625</x:v>
      </x:c>
      <x:c r="G4" s="51" t="str">
        <x:v>거래일 수</x:v>
      </x:c>
      <x:c r="H4" s="54" t="n">
        <x:f>COUNT('Data'!$A$2:$A$251)</x:f>
        <x:v>250</x:v>
      </x:c>
    </x:row>
    <x:row r="6" ht="32" customHeight="1">
      <x:c r="A6" s="58" t="str">
        <x:v>전략</x:v>
      </x:c>
      <x:c r="B6" s="58" t="str">
        <x:v>총수익률</x:v>
      </x:c>
      <x:c r="C6" s="58" t="str">
        <x:v>CAGR</x:v>
      </x:c>
      <x:c r="D6" s="58" t="str">
        <x:v>연환산 변동성</x:v>
      </x:c>
      <x:c r="E6" s="58" t="str">
        <x:v>샤프지수</x:v>
      </x:c>
      <x:c r="F6" s="58" t="str">
        <x:v>최대낙폭</x:v>
      </x:c>
      <x:c r="G6" s="58" t="str">
        <x:v>진입 횟수</x:v>
      </x:c>
      <x:c r="H6" s="58" t="str">
        <x:v>시장 노출</x:v>
      </x:c>
      <x:c r="I6" s="58" t="str">
        <x:v>승률</x:v>
      </x:c>
    </x:row>
    <x:row r="7">
      <x:c r="A7" s="59" t="str">
        <x:v>매수 후 보유</x:v>
      </x:c>
      <x:c r="B7" s="70" t="n">
        <x:f>'Data'!$P$251/'Assumptions'!$B$9-1</x:f>
        <x:v>0.19271986172716837</x:v>
      </x:c>
      <x:c r="C7" s="70" t="n">
        <x:f>('Data'!$P$251/'Assumptions'!$B$9)^(365/('Data'!$A$251-'Data'!$A$2))-1</x:f>
        <x:v>0.19387855383359365</x:v>
      </x:c>
      <x:c r="D7" s="70" t="n">
        <x:f>STDEV.S('Data'!$O$3:$O$251)*SQRT('Assumptions'!$B$10)</x:f>
        <x:v>0.35655158793659697</x:v>
      </x:c>
      <x:c r="E7" s="72" t="n">
        <x:f>(AVERAGE('Data'!$O$3:$O$251)*'Assumptions'!$B$10-'Assumptions'!$B$11)/D7</x:f>
        <x:v>0.6805140664326284</x:v>
      </x:c>
      <x:c r="F7" s="70" t="n">
        <x:f>MIN('Data'!$T$2:$T$251)</x:f>
        <x:v>-0.20214385493927078</x:v>
      </x:c>
      <x:c r="G7" s="74" t="n">
        <x:v>1</x:v>
      </x:c>
      <x:c r="H7" s="70" t="n">
        <x:v>1</x:v>
      </x:c>
      <x:c r="I7" s="76" t="n">
        <x:f>COUNTIF('Data'!$O$3:$O$251,"&gt;0")/COUNT('Data'!$O$3:$O$251)</x:f>
        <x:v>0.5100401606425703</x:v>
      </x:c>
    </x:row>
    <x:row r="8">
      <x:c r="A8" s="63" t="str">
        <x:v>SMA 20/50</x:v>
      </x:c>
      <x:c r="B8" s="71" t="n">
        <x:f>'Data'!$N$251/'Assumptions'!$B$9-1</x:f>
        <x:v>-0.04310016415050322</x:v>
      </x:c>
      <x:c r="C8" s="71" t="n">
        <x:f>('Data'!$N$251/'Assumptions'!$B$9)^(365/('Data'!$A$251-'Data'!$A$2))-1</x:f>
        <x:v>-0.04333240986229481</x:v>
      </x:c>
      <x:c r="D8" s="71" t="n">
        <x:f>STDEV.S('Data'!$M$3:$M$251)*SQRT('Assumptions'!$B$10)</x:f>
        <x:v>0.2865431069404719</x:v>
      </x:c>
      <x:c r="E8" s="73" t="n">
        <x:f>(AVERAGE('Data'!$M$3:$M$251)*'Assumptions'!$B$10-'Assumptions'!$B$11)/D8</x:f>
        <x:v>-0.013125867933129169</x:v>
      </x:c>
      <x:c r="F8" s="71" t="n">
        <x:f>MIN('Data'!$R$2:$R$251)</x:f>
        <x:v>-0.19624574123131566</x:v>
      </x:c>
      <x:c r="G8" s="75" t="n">
        <x:f>SUM('Data'!$U$2:$U$251)</x:f>
        <x:v>4</x:v>
      </x:c>
      <x:c r="H8" s="71" t="n">
        <x:f>AVERAGE('Data'!$L$2:$L$251)</x:f>
        <x:v>0.464</x:v>
      </x:c>
      <x:c r="I8" s="77" t="n">
        <x:f>IFERROR(COUNTIFS('Data'!$L$3:$L$251,1,'Data'!$M$3:$M$251,"&gt;0")/COUNTIF('Data'!$L$3:$L$251,1),0)</x:f>
        <x:v>0.49137931034482757</x:v>
      </x:c>
    </x:row>
    <x:row r="10" ht="34" customHeight="1">
      <x:c r="A10" s="79" t="str">
        <x:v>주의: 과거 성과는 미래 수익을 보장하지 않습니다. 세금·환율·호가 스프레드는 제외했고, 마지막 보유 포지션의 청산 비용은 반영하지 않았습니다.</x:v>
      </x:c>
      <x:c r="B10" s="79"/>
      <x:c r="C10" s="79"/>
      <x:c r="D10" s="79"/>
      <x:c r="E10" s="79"/>
      <x:c r="F10" s="79"/>
      <x:c r="G10" s="79"/>
      <x:c r="H10" s="79"/>
      <x:c r="I10" s="79"/>
    </x:row>
    <x:row r="31">
      <x:c r="A31" s="81" t="str">
        <x:v>데이터: Yahoo Finance | 조회 시각 2026-07-15T08:59:15.797Z | 완료 거래일 2026-07-13</x:v>
      </x:c>
      <x:c r="B31" s="81"/>
      <x:c r="C31" s="81"/>
      <x:c r="D31" s="81"/>
      <x:c r="E31" s="81"/>
      <x:c r="F31" s="81"/>
      <x:c r="G31" s="81"/>
      <x:c r="H31" s="81"/>
      <x:c r="I31" s="81"/>
    </x:row>
  </x:sheetData>
  <x:mergeCells>
    <x:mergeCell ref="A1:I1"/>
    <x:mergeCell ref="A2:I2"/>
    <x:mergeCell ref="A10:I10"/>
    <x:mergeCell ref="A31:I31"/>
  </x:mergeCells>
  <x:conditionalFormatting sqref="B7:C8">
    <x:cfRule type="cellIs" dxfId="2" priority="1" operator="greaterThanOrEqual">
      <x:formula>0</x:formula>
    </x:cfRule>
    <x:cfRule type="cellIs" dxfId="3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0b11f61acbe34e8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48" hidden="0" customWidth="1"/>
  </x:cols>
  <x:sheetData>
    <x:row r="1" ht="28" customHeight="1">
      <x:c r="A1" s="3" t="str">
        <x:v> NVDA 백테스트 가정</x:v>
      </x:c>
      <x:c r="B1" s="3"/>
      <x:c r="C1" s="3"/>
      <x:c r="D1" s="3"/>
    </x:row>
    <x:row r="3">
      <x:c r="A3" s="17" t="str">
        <x:v>항목</x:v>
      </x:c>
      <x:c r="B3" s="18" t="str">
        <x:v>값</x:v>
      </x:c>
      <x:c r="C3" s="19" t="str">
        <x:v>설명</x:v>
      </x:c>
    </x:row>
    <x:row r="4">
      <x:c r="A4" s="20" t="str">
        <x:v>티커</x:v>
      </x:c>
      <x:c r="B4" s="10" t="str">
        <x:v>NVDA</x:v>
      </x:c>
      <x:c r="C4" s="21" t="str">
        <x:v>NASDAQ 상장 NVIDIA 보통주</x:v>
      </x:c>
    </x:row>
    <x:row r="5">
      <x:c r="A5" s="20" t="str">
        <x:v>단기 이동평균</x:v>
      </x:c>
      <x:c r="B5" s="10" t="n">
        <x:v>20</x:v>
      </x:c>
      <x:c r="C5" s="21" t="str">
        <x:v>조정종가 기준 고정 거래일; 변경 시 보고서 재생성</x:v>
      </x:c>
    </x:row>
    <x:row r="6">
      <x:c r="A6" s="20" t="str">
        <x:v>장기 이동평균</x:v>
      </x:c>
      <x:c r="B6" s="10" t="n">
        <x:v>50</x:v>
      </x:c>
      <x:c r="C6" s="21" t="str">
        <x:v>조정종가 기준 고정 거래일; 변경 시 보고서 재생성</x:v>
      </x:c>
    </x:row>
    <x:row r="7">
      <x:c r="A7" s="20" t="str">
        <x:v>편도 거래비용</x:v>
      </x:c>
      <x:c r="B7" s="11" t="n">
        <x:v>0.001</x:v>
      </x:c>
      <x:c r="C7" s="21" t="str">
        <x:v>진입 또는 청산 때마다 차감</x:v>
      </x:c>
    </x:row>
    <x:row r="8">
      <x:c r="A8" s="20" t="str">
        <x:v>슬리피지</x:v>
      </x:c>
      <x:c r="B8" s="11" t="n">
        <x:v>0</x:v>
      </x:c>
      <x:c r="C8" s="21" t="str">
        <x:v>예시에서는 0%</x:v>
      </x:c>
    </x:row>
    <x:row r="9">
      <x:c r="A9" s="20" t="str">
        <x:v>초기자본</x:v>
      </x:c>
      <x:c r="B9" s="12" t="n">
        <x:v>1</x:v>
      </x:c>
      <x:c r="C9" s="21" t="str">
        <x:v>정규화 지수</x:v>
      </x:c>
    </x:row>
    <x:row r="10">
      <x:c r="A10" s="20" t="str">
        <x:v>연간 거래일</x:v>
      </x:c>
      <x:c r="B10" s="8" t="n">
        <x:v>252</x:v>
      </x:c>
      <x:c r="C10" s="21" t="str">
        <x:v>연환산 기준</x:v>
      </x:c>
    </x:row>
    <x:row r="11">
      <x:c r="A11" s="20" t="str">
        <x:v>무위험수익률</x:v>
      </x:c>
      <x:c r="B11" s="11" t="n">
        <x:v>0</x:v>
      </x:c>
      <x:c r="C11" s="21" t="str">
        <x:v>샤프지수 계산</x:v>
      </x:c>
    </x:row>
    <x:row r="12">
      <x:c r="A12" s="20" t="str">
        <x:v>체결 규칙</x:v>
      </x:c>
      <x:c r="B12" s="10" t="str">
        <x:v>다음 거래일</x:v>
      </x:c>
      <x:c r="C12" s="21" t="str">
        <x:v>당일 종가 신호를 다음 거래일부터 적용</x:v>
      </x:c>
    </x:row>
    <x:row r="13">
      <x:c r="A13" s="20" t="str">
        <x:v>가격 기준</x:v>
      </x:c>
      <x:c r="B13" s="10" t="str">
        <x:v>조정종가</x:v>
      </x:c>
      <x:c r="C13" s="21" t="str">
        <x:v>배당·분할 조정값</x:v>
      </x:c>
    </x:row>
    <x:row r="14">
      <x:c r="A14" s="22" t="str">
        <x:v>현금 수익률</x:v>
      </x:c>
      <x:c r="B14" s="23" t="n">
        <x:v>0</x:v>
      </x:c>
      <x:c r="C14" s="24" t="str">
        <x:v>포지션이 없을 때 0%</x:v>
      </x:c>
    </x:row>
    <x:row r="17">
      <x:c r="A17" s="14" t="str">
        <x:v>표시 규칙</x:v>
      </x:c>
      <x:c r="B17" s="14" t="str">
        <x:v>색상</x:v>
      </x:c>
      <x:c r="C17" s="14" t="str">
        <x:v>의미</x:v>
      </x:c>
    </x:row>
    <x:row r="18">
      <x:c r="A18" t="str">
        <x:v>입력</x:v>
      </x:c>
      <x:c r="B18" s="15" t="str">
        <x:v>파란 글씨</x:v>
      </x:c>
      <x:c r="C18" t="str">
        <x:v>사용자가 바꿀 수 있는 가정</x:v>
      </x:c>
    </x:row>
    <x:row r="19">
      <x:c r="A19" t="str">
        <x:v>연결</x:v>
      </x:c>
      <x:c r="B19" s="16" t="str">
        <x:v>초록 글씨</x:v>
      </x:c>
      <x:c r="C19" t="str">
        <x:v>다른 시트를 참조하는 수식</x:v>
      </x:c>
    </x:row>
  </x:sheetData>
  <x:mergeCells>
    <x:mergeCell ref="A1:D1"/>
  </x:mergeCells>
  <x:pageMargins left="0.7" right="0.7" top="0.75" bottom="0.75" header="0.3" footer="0.3"/>
  <x:legacyDrawing xmlns:r="http://schemas.openxmlformats.org/officeDocument/2006/relationships" r:id="R1c706ea13def4824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9" hidden="0" customWidth="1"/>
    <x:col min="22" max="22" width="9" hidden="0" customWidth="1"/>
    <x:col min="23" max="23" width="16" hidden="0" customWidth="1"/>
  </x:cols>
  <x:sheetData>
    <x:row r="1" ht="34" customHeight="1">
      <x:c r="A1" s="28" t="str">
        <x:v>Date</x:v>
      </x:c>
      <x:c r="B1" s="28" t="str">
        <x:v>Open</x:v>
      </x:c>
      <x:c r="C1" s="28" t="str">
        <x:v>High</x:v>
      </x:c>
      <x:c r="D1" s="28" t="str">
        <x:v>Low</x:v>
      </x:c>
      <x:c r="E1" s="28" t="str">
        <x:v>Close</x:v>
      </x:c>
      <x:c r="F1" s="28" t="str">
        <x:v>Adj Close</x:v>
      </x:c>
      <x:c r="G1" s="28" t="str">
        <x:v>Volume</x:v>
      </x:c>
      <x:c r="H1" s="28" t="str">
        <x:v>Daily Return</x:v>
      </x:c>
      <x:c r="I1" s="28" t="str">
        <x:v>SMA Fast</x:v>
      </x:c>
      <x:c r="J1" s="28" t="str">
        <x:v>SMA Slow</x:v>
      </x:c>
      <x:c r="K1" s="28" t="str">
        <x:v>Signal at Close</x:v>
      </x:c>
      <x:c r="L1" s="28" t="str">
        <x:v>Position</x:v>
      </x:c>
      <x:c r="M1" s="28" t="str">
        <x:v>Strategy Net Return</x:v>
      </x:c>
      <x:c r="N1" s="28" t="str">
        <x:v>Strategy Equity</x:v>
      </x:c>
      <x:c r="O1" s="28" t="str">
        <x:v>Buy &amp; Hold Net Return</x:v>
      </x:c>
      <x:c r="P1" s="28" t="str">
        <x:v>Buy &amp; Hold Equity</x:v>
      </x:c>
      <x:c r="Q1" s="28" t="str">
        <x:v>Strategy Peak</x:v>
      </x:c>
      <x:c r="R1" s="28" t="str">
        <x:v>Strategy Drawdown</x:v>
      </x:c>
      <x:c r="S1" s="28" t="str">
        <x:v>Buy &amp; Hold Peak</x:v>
      </x:c>
      <x:c r="T1" s="28" t="str">
        <x:v>Buy &amp; Hold Drawdown</x:v>
      </x:c>
      <x:c r="U1" s="28" t="str">
        <x:v>Entry</x:v>
      </x:c>
      <x:c r="V1" s="28" t="str">
        <x:v>Exit</x:v>
      </x:c>
      <x:c r="W1" s="28" t="str">
        <x:v>Signal Lag Check</x:v>
      </x:c>
    </x:row>
    <x:row r="2">
      <x:c r="A2" s="29" t="n">
        <x:v>45853.5625</x:v>
      </x:c>
      <x:c r="B2" s="30" t="n">
        <x:v>171.19000244140625</x:v>
      </x:c>
      <x:c r="C2" s="30" t="n">
        <x:v>172.39999389648438</x:v>
      </x:c>
      <x:c r="D2" s="30" t="n">
        <x:v>169.1999969482422</x:v>
      </x:c>
      <x:c r="E2" s="30" t="n">
        <x:v>170.6999969482422</x:v>
      </x:c>
      <x:c r="F2" s="30" t="n">
        <x:v>170.4729461669922</x:v>
      </x:c>
      <x:c r="G2" s="31" t="n">
        <x:v>230627400</x:v>
      </x:c>
      <x:c r="H2" s="32" t="n">
        <x:v>0</x:v>
      </x:c>
      <x:c r="I2" s="35"/>
      <x:c r="J2" s="35"/>
      <x:c r="K2" s="33" t="n">
        <x:f>IF(COUNT(I2:J2)=2,IF(I2&gt;J2,1,0),0)</x:f>
        <x:v>0</x:v>
      </x:c>
      <x:c r="L2" s="33" t="n">
        <x:v>0</x:v>
      </x:c>
      <x:c r="M2" s="36" t="n">
        <x:v>0</x:v>
      </x:c>
      <x:c r="N2" s="37" t="n">
        <x:f>'Assumptions'!$B$9</x:f>
        <x:v>1</x:v>
      </x:c>
      <x:c r="O2" s="36" t="n">
        <x:f>-('Assumptions'!$B$7+'Assumptions'!$B$8)</x:f>
        <x:v>-0.001</x:v>
      </x:c>
      <x:c r="P2" s="37" t="n">
        <x:f>'Assumptions'!$B$9*(1+O2)</x:f>
        <x:v>0.999</x:v>
      </x:c>
      <x:c r="Q2" s="34" t="n">
        <x:f>N2</x:f>
        <x:v>1</x:v>
      </x:c>
      <x:c r="R2" s="38" t="n">
        <x:f>N2/Q2-1</x:f>
        <x:v>0</x:v>
      </x:c>
      <x:c r="S2" s="39" t="n">
        <x:f>P2</x:f>
        <x:v>0.999</x:v>
      </x:c>
      <x:c r="T2" s="38" t="n">
        <x:f>P2/S2-1</x:f>
        <x:v>0</x:v>
      </x:c>
      <x:c r="U2" s="33" t="n">
        <x:v>0</x:v>
      </x:c>
      <x:c r="V2" s="33" t="n">
        <x:v>0</x:v>
      </x:c>
      <x:c r="W2" s="33" t="n">
        <x:v>0</x:v>
      </x:c>
    </x:row>
    <x:row r="3">
      <x:c r="A3" s="29" t="n">
        <x:v>45854.5625</x:v>
      </x:c>
      <x:c r="B3" s="30" t="n">
        <x:v>171.05999755859375</x:v>
      </x:c>
      <x:c r="C3" s="30" t="n">
        <x:v>171.75</x:v>
      </x:c>
      <x:c r="D3" s="30" t="n">
        <x:v>168.89999389648438</x:v>
      </x:c>
      <x:c r="E3" s="30" t="n">
        <x:v>171.3699951171875</x:v>
      </x:c>
      <x:c r="F3" s="30" t="n">
        <x:v>171.14205932617188</x:v>
      </x:c>
      <x:c r="G3" s="31" t="n">
        <x:v>158831500</x:v>
      </x:c>
      <x:c r="H3" s="32" t="n">
        <x:f>F3/F2-1</x:f>
        <x:v>0.003925040155780657</x:v>
      </x:c>
      <x:c r="I3" s="35"/>
      <x:c r="J3" s="35"/>
      <x:c r="K3" s="33" t="n">
        <x:f>IF(COUNT(I3:J3)=2,IF(I3&gt;J3,1,0),0)</x:f>
        <x:v>0</x:v>
      </x:c>
      <x:c r="L3" s="33" t="n">
        <x:f>K2</x:f>
        <x:v>0</x:v>
      </x:c>
      <x:c r="M3" s="36" t="n">
        <x:f>L3*H3-IF(L3&lt;&gt;L2,'Assumptions'!$B$7+'Assumptions'!$B$8,0)</x:f>
        <x:v>0</x:v>
      </x:c>
      <x:c r="N3" s="37" t="n">
        <x:f>N2*(1+M3)</x:f>
        <x:v>1</x:v>
      </x:c>
      <x:c r="O3" s="36" t="n">
        <x:f>H3</x:f>
        <x:v>0.003925040155780657</x:v>
      </x:c>
      <x:c r="P3" s="37" t="n">
        <x:f>P2*(1+O3)</x:f>
        <x:v>1.002921115115625</x:v>
      </x:c>
      <x:c r="Q3" s="34" t="n">
        <x:f>MAX(Q2,N3)</x:f>
        <x:v>1</x:v>
      </x:c>
      <x:c r="R3" s="38" t="n">
        <x:f>N3/Q3-1</x:f>
        <x:v>0</x:v>
      </x:c>
      <x:c r="S3" s="39" t="n">
        <x:f>MAX(S2,P3)</x:f>
        <x:v>1.002921115115625</x:v>
      </x:c>
      <x:c r="T3" s="38" t="n">
        <x:f>P3/S3-1</x:f>
        <x:v>0</x:v>
      </x:c>
      <x:c r="U3" s="33" t="n">
        <x:f>IF(AND(L3=1,L2=0),1,0)</x:f>
        <x:v>0</x:v>
      </x:c>
      <x:c r="V3" s="33" t="n">
        <x:f>IF(AND(L3=0,L2=1),1,0)</x:f>
        <x:v>0</x:v>
      </x:c>
      <x:c r="W3" s="33" t="n">
        <x:f>IF(L3=K2,0,1)</x:f>
        <x:v>0</x:v>
      </x:c>
    </x:row>
    <x:row r="4">
      <x:c r="A4" s="29" t="n">
        <x:v>45855.5625</x:v>
      </x:c>
      <x:c r="B4" s="30" t="n">
        <x:v>172.02000427246094</x:v>
      </x:c>
      <x:c r="C4" s="30" t="n">
        <x:v>174.16000366210938</x:v>
      </x:c>
      <x:c r="D4" s="30" t="n">
        <x:v>170.8300018310547</x:v>
      </x:c>
      <x:c r="E4" s="30" t="n">
        <x:v>173</x:v>
      </x:c>
      <x:c r="F4" s="30" t="n">
        <x:v>172.7698974609375</x:v>
      </x:c>
      <x:c r="G4" s="31" t="n">
        <x:v>160841100</x:v>
      </x:c>
      <x:c r="H4" s="32" t="n">
        <x:f>F4/F3-1</x:f>
        <x:v>0.009511619418247186</x:v>
      </x:c>
      <x:c r="I4" s="35"/>
      <x:c r="J4" s="35"/>
      <x:c r="K4" s="33" t="n">
        <x:f>IF(COUNT(I4:J4)=2,IF(I4&gt;J4,1,0),0)</x:f>
        <x:v>0</x:v>
      </x:c>
      <x:c r="L4" s="33" t="n">
        <x:f>K3</x:f>
        <x:v>0</x:v>
      </x:c>
      <x:c r="M4" s="36" t="n">
        <x:f>L4*H4-IF(L4&lt;&gt;L3,'Assumptions'!$B$7+'Assumptions'!$B$8,0)</x:f>
        <x:v>0</x:v>
      </x:c>
      <x:c r="N4" s="37" t="n">
        <x:f>N3*(1+M4)</x:f>
        <x:v>1</x:v>
      </x:c>
      <x:c r="O4" s="36" t="n">
        <x:f>H4</x:f>
        <x:v>0.009511619418247186</x:v>
      </x:c>
      <x:c r="P4" s="37" t="n">
        <x:f>P3*(1+O4)</x:f>
        <x:v>1.012460519069129</x:v>
      </x:c>
      <x:c r="Q4" s="34" t="n">
        <x:f>MAX(Q3,N4)</x:f>
        <x:v>1</x:v>
      </x:c>
      <x:c r="R4" s="38" t="n">
        <x:f>N4/Q4-1</x:f>
        <x:v>0</x:v>
      </x:c>
      <x:c r="S4" s="39" t="n">
        <x:f>MAX(S3,P4)</x:f>
        <x:v>1.012460519069129</x:v>
      </x:c>
      <x:c r="T4" s="38" t="n">
        <x:f>P4/S4-1</x:f>
        <x:v>0</x:v>
      </x:c>
      <x:c r="U4" s="33" t="n">
        <x:f>IF(AND(L4=1,L3=0),1,0)</x:f>
        <x:v>0</x:v>
      </x:c>
      <x:c r="V4" s="33" t="n">
        <x:f>IF(AND(L4=0,L3=1),1,0)</x:f>
        <x:v>0</x:v>
      </x:c>
      <x:c r="W4" s="33" t="n">
        <x:f>IF(L4=K3,0,1)</x:f>
        <x:v>0</x:v>
      </x:c>
    </x:row>
    <x:row r="5">
      <x:c r="A5" s="29" t="n">
        <x:v>45856.5625</x:v>
      </x:c>
      <x:c r="B5" s="30" t="n">
        <x:v>173.63999938964844</x:v>
      </x:c>
      <x:c r="C5" s="30" t="n">
        <x:v>174.25</x:v>
      </x:c>
      <x:c r="D5" s="30" t="n">
        <x:v>171.25999450683594</x:v>
      </x:c>
      <x:c r="E5" s="30" t="n">
        <x:v>172.41000366210938</x:v>
      </x:c>
      <x:c r="F5" s="30" t="n">
        <x:v>172.18067932128906</x:v>
      </x:c>
      <x:c r="G5" s="31" t="n">
        <x:v>146456400</x:v>
      </x:c>
      <x:c r="H5" s="32" t="n">
        <x:f>F5/F4-1</x:f>
        <x:v>-0.00341042130780711</x:v>
      </x:c>
      <x:c r="I5" s="35"/>
      <x:c r="J5" s="35"/>
      <x:c r="K5" s="33" t="n">
        <x:f>IF(COUNT(I5:J5)=2,IF(I5&gt;J5,1,0),0)</x:f>
        <x:v>0</x:v>
      </x:c>
      <x:c r="L5" s="33" t="n">
        <x:f>K4</x:f>
        <x:v>0</x:v>
      </x:c>
      <x:c r="M5" s="36" t="n">
        <x:f>L5*H5-IF(L5&lt;&gt;L4,'Assumptions'!$B$7+'Assumptions'!$B$8,0)</x:f>
        <x:v>0</x:v>
      </x:c>
      <x:c r="N5" s="37" t="n">
        <x:f>N4*(1+M5)</x:f>
        <x:v>1</x:v>
      </x:c>
      <x:c r="O5" s="36" t="n">
        <x:f>H5</x:f>
        <x:v>-0.00341042130780711</x:v>
      </x:c>
      <x:c r="P5" s="37" t="n">
        <x:f>P4*(1+O5)</x:f>
        <x:v>1.0090076021415821</x:v>
      </x:c>
      <x:c r="Q5" s="34" t="n">
        <x:f>MAX(Q4,N5)</x:f>
        <x:v>1</x:v>
      </x:c>
      <x:c r="R5" s="38" t="n">
        <x:f>N5/Q5-1</x:f>
        <x:v>0</x:v>
      </x:c>
      <x:c r="S5" s="39" t="n">
        <x:f>MAX(S4,P5)</x:f>
        <x:v>1.012460519069129</x:v>
      </x:c>
      <x:c r="T5" s="38" t="n">
        <x:f>P5/S5-1</x:f>
        <x:v>-0.00341042130780711</x:v>
      </x:c>
      <x:c r="U5" s="33" t="n">
        <x:f>IF(AND(L5=1,L4=0),1,0)</x:f>
        <x:v>0</x:v>
      </x:c>
      <x:c r="V5" s="33" t="n">
        <x:f>IF(AND(L5=0,L4=1),1,0)</x:f>
        <x:v>0</x:v>
      </x:c>
      <x:c r="W5" s="33" t="n">
        <x:f>IF(L5=K4,0,1)</x:f>
        <x:v>0</x:v>
      </x:c>
    </x:row>
    <x:row r="6">
      <x:c r="A6" s="29" t="n">
        <x:v>45859.5625</x:v>
      </x:c>
      <x:c r="B6" s="30" t="n">
        <x:v>172.75</x:v>
      </x:c>
      <x:c r="C6" s="30" t="n">
        <x:v>173.3800048828125</x:v>
      </x:c>
      <x:c r="D6" s="30" t="n">
        <x:v>171</x:v>
      </x:c>
      <x:c r="E6" s="30" t="n">
        <x:v>171.3800048828125</x:v>
      </x:c>
      <x:c r="F6" s="30" t="n">
        <x:v>171.1520538330078</x:v>
      </x:c>
      <x:c r="G6" s="31" t="n">
        <x:v>123126100</x:v>
      </x:c>
      <x:c r="H6" s="32" t="n">
        <x:f>F6/F5-1</x:f>
        <x:v>-0.005974105180302058</x:v>
      </x:c>
      <x:c r="I6" s="35"/>
      <x:c r="J6" s="35"/>
      <x:c r="K6" s="33" t="n">
        <x:f>IF(COUNT(I6:J6)=2,IF(I6&gt;J6,1,0),0)</x:f>
        <x:v>0</x:v>
      </x:c>
      <x:c r="L6" s="33" t="n">
        <x:f>K5</x:f>
        <x:v>0</x:v>
      </x:c>
      <x:c r="M6" s="36" t="n">
        <x:f>L6*H6-IF(L6&lt;&gt;L5,'Assumptions'!$B$7+'Assumptions'!$B$8,0)</x:f>
        <x:v>0</x:v>
      </x:c>
      <x:c r="N6" s="37" t="n">
        <x:f>N5*(1+M6)</x:f>
        <x:v>1</x:v>
      </x:c>
      <x:c r="O6" s="36" t="n">
        <x:f>H6</x:f>
        <x:v>-0.005974105180302058</x:v>
      </x:c>
      <x:c r="P6" s="37" t="n">
        <x:f>P5*(1+O6)</x:f>
        <x:v>1.002979684598664</x:v>
      </x:c>
      <x:c r="Q6" s="34" t="n">
        <x:f>MAX(Q5,N6)</x:f>
        <x:v>1</x:v>
      </x:c>
      <x:c r="R6" s="38" t="n">
        <x:f>N6/Q6-1</x:f>
        <x:v>0</x:v>
      </x:c>
      <x:c r="S6" s="39" t="n">
        <x:f>MAX(S5,P6)</x:f>
        <x:v>1.012460519069129</x:v>
      </x:c>
      <x:c r="T6" s="38" t="n">
        <x:f>P6/S6-1</x:f>
        <x:v>-0.009364152272507087</x:v>
      </x:c>
      <x:c r="U6" s="33" t="n">
        <x:f>IF(AND(L6=1,L5=0),1,0)</x:f>
        <x:v>0</x:v>
      </x:c>
      <x:c r="V6" s="33" t="n">
        <x:f>IF(AND(L6=0,L5=1),1,0)</x:f>
        <x:v>0</x:v>
      </x:c>
      <x:c r="W6" s="33" t="n">
        <x:f>IF(L6=K5,0,1)</x:f>
        <x:v>0</x:v>
      </x:c>
    </x:row>
    <x:row r="7">
      <x:c r="A7" s="29" t="n">
        <x:v>45860.5625</x:v>
      </x:c>
      <x:c r="B7" s="30" t="n">
        <x:v>171.33999633789062</x:v>
      </x:c>
      <x:c r="C7" s="30" t="n">
        <x:v>171.38999938964844</x:v>
      </x:c>
      <x:c r="D7" s="30" t="n">
        <x:v>164.5800018310547</x:v>
      </x:c>
      <x:c r="E7" s="30" t="n">
        <x:v>167.02999877929688</x:v>
      </x:c>
      <x:c r="F7" s="30" t="n">
        <x:v>166.80784606933594</x:v>
      </x:c>
      <x:c r="G7" s="31" t="n">
        <x:v>193114300</x:v>
      </x:c>
      <x:c r="H7" s="32" t="n">
        <x:f>F7/F6-1</x:f>
        <x:v>-0.025382153858991896</x:v>
      </x:c>
      <x:c r="I7" s="35"/>
      <x:c r="J7" s="35"/>
      <x:c r="K7" s="33" t="n">
        <x:f>IF(COUNT(I7:J7)=2,IF(I7&gt;J7,1,0),0)</x:f>
        <x:v>0</x:v>
      </x:c>
      <x:c r="L7" s="33" t="n">
        <x:f>K6</x:f>
        <x:v>0</x:v>
      </x:c>
      <x:c r="M7" s="36" t="n">
        <x:f>L7*H7-IF(L7&lt;&gt;L6,'Assumptions'!$B$7+'Assumptions'!$B$8,0)</x:f>
        <x:v>0</x:v>
      </x:c>
      <x:c r="N7" s="37" t="n">
        <x:f>N6*(1+M7)</x:f>
        <x:v>1</x:v>
      </x:c>
      <x:c r="O7" s="36" t="n">
        <x:f>H7</x:f>
        <x:v>-0.025382153858991896</x:v>
      </x:c>
      <x:c r="P7" s="37" t="n">
        <x:f>P6*(1+O7)</x:f>
        <x:v>0.9775218999267375</x:v>
      </x:c>
      <x:c r="Q7" s="34" t="n">
        <x:f>MAX(Q6,N7)</x:f>
        <x:v>1</x:v>
      </x:c>
      <x:c r="R7" s="38" t="n">
        <x:f>N7/Q7-1</x:f>
        <x:v>0</x:v>
      </x:c>
      <x:c r="S7" s="39" t="n">
        <x:f>MAX(S6,P7)</x:f>
        <x:v>1.012460519069129</x:v>
      </x:c>
      <x:c r="T7" s="38" t="n">
        <x:f>P7/S7-1</x:f>
        <x:v>-0.034508623777759206</x:v>
      </x:c>
      <x:c r="U7" s="33" t="n">
        <x:f>IF(AND(L7=1,L6=0),1,0)</x:f>
        <x:v>0</x:v>
      </x:c>
      <x:c r="V7" s="33" t="n">
        <x:f>IF(AND(L7=0,L6=1),1,0)</x:f>
        <x:v>0</x:v>
      </x:c>
      <x:c r="W7" s="33" t="n">
        <x:f>IF(L7=K6,0,1)</x:f>
        <x:v>0</x:v>
      </x:c>
    </x:row>
    <x:row r="8">
      <x:c r="A8" s="29" t="n">
        <x:v>45861.5625</x:v>
      </x:c>
      <x:c r="B8" s="30" t="n">
        <x:v>169.52999877929688</x:v>
      </x:c>
      <x:c r="C8" s="30" t="n">
        <x:v>171.25999450683594</x:v>
      </x:c>
      <x:c r="D8" s="30" t="n">
        <x:v>167.97000122070312</x:v>
      </x:c>
      <x:c r="E8" s="30" t="n">
        <x:v>170.77999877929688</x:v>
      </x:c>
      <x:c r="F8" s="30" t="n">
        <x:v>170.55284118652344</x:v>
      </x:c>
      <x:c r="G8" s="31" t="n">
        <x:v>154082200</x:v>
      </x:c>
      <x:c r="H8" s="32" t="n">
        <x:f>F8/F7-1</x:f>
        <x:v>0.022450953030295873</x:v>
      </x:c>
      <x:c r="I8" s="35"/>
      <x:c r="J8" s="35"/>
      <x:c r="K8" s="33" t="n">
        <x:f>IF(COUNT(I8:J8)=2,IF(I8&gt;J8,1,0),0)</x:f>
        <x:v>0</x:v>
      </x:c>
      <x:c r="L8" s="33" t="n">
        <x:f>K7</x:f>
        <x:v>0</x:v>
      </x:c>
      <x:c r="M8" s="36" t="n">
        <x:f>L8*H8-IF(L8&lt;&gt;L7,'Assumptions'!$B$7+'Assumptions'!$B$8,0)</x:f>
        <x:v>0</x:v>
      </x:c>
      <x:c r="N8" s="37" t="n">
        <x:f>N7*(1+M8)</x:f>
        <x:v>1</x:v>
      </x:c>
      <x:c r="O8" s="36" t="n">
        <x:f>H8</x:f>
        <x:v>0.022450953030295873</x:v>
      </x:c>
      <x:c r="P8" s="37" t="n">
        <x:f>P7*(1+O8)</x:f>
        <x:v>0.9994681981880783</x:v>
      </x:c>
      <x:c r="Q8" s="34" t="n">
        <x:f>MAX(Q7,N8)</x:f>
        <x:v>1</x:v>
      </x:c>
      <x:c r="R8" s="38" t="n">
        <x:f>N8/Q8-1</x:f>
        <x:v>0</x:v>
      </x:c>
      <x:c r="S8" s="39" t="n">
        <x:f>MAX(S7,P8)</x:f>
        <x:v>1.012460519069129</x:v>
      </x:c>
      <x:c r="T8" s="38" t="n">
        <x:f>P8/S8-1</x:f>
        <x:v>-0.012832422239038022</x:v>
      </x:c>
      <x:c r="U8" s="33" t="n">
        <x:f>IF(AND(L8=1,L7=0),1,0)</x:f>
        <x:v>0</x:v>
      </x:c>
      <x:c r="V8" s="33" t="n">
        <x:f>IF(AND(L8=0,L7=1),1,0)</x:f>
        <x:v>0</x:v>
      </x:c>
      <x:c r="W8" s="33" t="n">
        <x:f>IF(L8=K7,0,1)</x:f>
        <x:v>0</x:v>
      </x:c>
    </x:row>
    <x:row r="9">
      <x:c r="A9" s="29" t="n">
        <x:v>45862.5625</x:v>
      </x:c>
      <x:c r="B9" s="30" t="n">
        <x:v>172.44000244140625</x:v>
      </x:c>
      <x:c r="C9" s="30" t="n">
        <x:v>173.8300018310547</x:v>
      </x:c>
      <x:c r="D9" s="30" t="n">
        <x:v>171.3000030517578</x:v>
      </x:c>
      <x:c r="E9" s="30" t="n">
        <x:v>173.74000549316406</x:v>
      </x:c>
      <x:c r="F9" s="30" t="n">
        <x:v>173.5089111328125</x:v>
      </x:c>
      <x:c r="G9" s="31" t="n">
        <x:v>128984600</x:v>
      </x:c>
      <x:c r="H9" s="32" t="n">
        <x:f>F9/F8-1</x:f>
        <x:v>0.017332282040708913</x:v>
      </x:c>
      <x:c r="I9" s="35"/>
      <x:c r="J9" s="35"/>
      <x:c r="K9" s="33" t="n">
        <x:f>IF(COUNT(I9:J9)=2,IF(I9&gt;J9,1,0),0)</x:f>
        <x:v>0</x:v>
      </x:c>
      <x:c r="L9" s="33" t="n">
        <x:f>K8</x:f>
        <x:v>0</x:v>
      </x:c>
      <x:c r="M9" s="36" t="n">
        <x:f>L9*H9-IF(L9&lt;&gt;L8,'Assumptions'!$B$7+'Assumptions'!$B$8,0)</x:f>
        <x:v>0</x:v>
      </x:c>
      <x:c r="N9" s="37" t="n">
        <x:f>N8*(1+M9)</x:f>
        <x:v>1</x:v>
      </x:c>
      <x:c r="O9" s="36" t="n">
        <x:f>H9</x:f>
        <x:v>0.017332282040708913</x:v>
      </x:c>
      <x:c r="P9" s="37" t="n">
        <x:f>P8*(1+O9)</x:f>
        <x:v>1.0167912628897933</x:v>
      </x:c>
      <x:c r="Q9" s="34" t="n">
        <x:f>MAX(Q8,N9)</x:f>
        <x:v>1</x:v>
      </x:c>
      <x:c r="R9" s="38" t="n">
        <x:f>N9/Q9-1</x:f>
        <x:v>0</x:v>
      </x:c>
      <x:c r="S9" s="39" t="n">
        <x:f>MAX(S8,P9)</x:f>
        <x:v>1.0167912628897933</x:v>
      </x:c>
      <x:c r="T9" s="38" t="n">
        <x:f>P9/S9-1</x:f>
        <x:v>0</x:v>
      </x:c>
      <x:c r="U9" s="33" t="n">
        <x:f>IF(AND(L9=1,L8=0),1,0)</x:f>
        <x:v>0</x:v>
      </x:c>
      <x:c r="V9" s="33" t="n">
        <x:f>IF(AND(L9=0,L8=1),1,0)</x:f>
        <x:v>0</x:v>
      </x:c>
      <x:c r="W9" s="33" t="n">
        <x:f>IF(L9=K8,0,1)</x:f>
        <x:v>0</x:v>
      </x:c>
    </x:row>
    <x:row r="10">
      <x:c r="A10" s="29" t="n">
        <x:v>45863.5625</x:v>
      </x:c>
      <x:c r="B10" s="30" t="n">
        <x:v>173.61000061035156</x:v>
      </x:c>
      <x:c r="C10" s="30" t="n">
        <x:v>174.72000122070312</x:v>
      </x:c>
      <x:c r="D10" s="30" t="n">
        <x:v>172.9600067138672</x:v>
      </x:c>
      <x:c r="E10" s="30" t="n">
        <x:v>173.5</x:v>
      </x:c>
      <x:c r="F10" s="30" t="n">
        <x:v>173.26922607421875</x:v>
      </x:c>
      <x:c r="G10" s="31" t="n">
        <x:v>122316800</x:v>
      </x:c>
      <x:c r="H10" s="32" t="n">
        <x:f>F10/F9-1</x:f>
        <x:v>-0.0013813991283150306</x:v>
      </x:c>
      <x:c r="I10" s="35"/>
      <x:c r="J10" s="35"/>
      <x:c r="K10" s="33" t="n">
        <x:f>IF(COUNT(I10:J10)=2,IF(I10&gt;J10,1,0),0)</x:f>
        <x:v>0</x:v>
      </x:c>
      <x:c r="L10" s="33" t="n">
        <x:f>K9</x:f>
        <x:v>0</x:v>
      </x:c>
      <x:c r="M10" s="36" t="n">
        <x:f>L10*H10-IF(L10&lt;&gt;L9,'Assumptions'!$B$7+'Assumptions'!$B$8,0)</x:f>
        <x:v>0</x:v>
      </x:c>
      <x:c r="N10" s="37" t="n">
        <x:f>N9*(1+M10)</x:f>
        <x:v>1</x:v>
      </x:c>
      <x:c r="O10" s="36" t="n">
        <x:f>H10</x:f>
        <x:v>-0.0013813991283150306</x:v>
      </x:c>
      <x:c r="P10" s="37" t="n">
        <x:f>P9*(1+O10)</x:f>
        <x:v>1.015386668325559</x:v>
      </x:c>
      <x:c r="Q10" s="34" t="n">
        <x:f>MAX(Q9,N10)</x:f>
        <x:v>1</x:v>
      </x:c>
      <x:c r="R10" s="38" t="n">
        <x:f>N10/Q10-1</x:f>
        <x:v>0</x:v>
      </x:c>
      <x:c r="S10" s="39" t="n">
        <x:f>MAX(S9,P10)</x:f>
        <x:v>1.0167912628897933</x:v>
      </x:c>
      <x:c r="T10" s="38" t="n">
        <x:f>P10/S10-1</x:f>
        <x:v>-0.0013813991283150306</x:v>
      </x:c>
      <x:c r="U10" s="33" t="n">
        <x:f>IF(AND(L10=1,L9=0),1,0)</x:f>
        <x:v>0</x:v>
      </x:c>
      <x:c r="V10" s="33" t="n">
        <x:f>IF(AND(L10=0,L9=1),1,0)</x:f>
        <x:v>0</x:v>
      </x:c>
      <x:c r="W10" s="33" t="n">
        <x:f>IF(L10=K9,0,1)</x:f>
        <x:v>0</x:v>
      </x:c>
    </x:row>
    <x:row r="11">
      <x:c r="A11" s="29" t="n">
        <x:v>45866.5625</x:v>
      </x:c>
      <x:c r="B11" s="30" t="n">
        <x:v>174.02000427246094</x:v>
      </x:c>
      <x:c r="C11" s="30" t="n">
        <x:v>177</x:v>
      </x:c>
      <x:c r="D11" s="30" t="n">
        <x:v>173.97000122070312</x:v>
      </x:c>
      <x:c r="E11" s="30" t="n">
        <x:v>176.75</x:v>
      </x:c>
      <x:c r="F11" s="30" t="n">
        <x:v>176.514892578125</x:v>
      </x:c>
      <x:c r="G11" s="31" t="n">
        <x:v>140023500</x:v>
      </x:c>
      <x:c r="H11" s="32" t="n">
        <x:f>F11/F10-1</x:f>
        <x:v>0.018731927056198527</x:v>
      </x:c>
      <x:c r="I11" s="35"/>
      <x:c r="J11" s="35"/>
      <x:c r="K11" s="33" t="n">
        <x:f>IF(COUNT(I11:J11)=2,IF(I11&gt;J11,1,0),0)</x:f>
        <x:v>0</x:v>
      </x:c>
      <x:c r="L11" s="33" t="n">
        <x:f>K10</x:f>
        <x:v>0</x:v>
      </x:c>
      <x:c r="M11" s="36" t="n">
        <x:f>L11*H11-IF(L11&lt;&gt;L10,'Assumptions'!$B$7+'Assumptions'!$B$8,0)</x:f>
        <x:v>0</x:v>
      </x:c>
      <x:c r="N11" s="37" t="n">
        <x:f>N10*(1+M11)</x:f>
        <x:v>1</x:v>
      </x:c>
      <x:c r="O11" s="36" t="n">
        <x:f>H11</x:f>
        <x:v>0.018731927056198527</x:v>
      </x:c>
      <x:c r="P11" s="37" t="n">
        <x:f>P10*(1+O11)</x:f>
        <x:v>1.03440681733047</x:v>
      </x:c>
      <x:c r="Q11" s="34" t="n">
        <x:f>MAX(Q10,N11)</x:f>
        <x:v>1</x:v>
      </x:c>
      <x:c r="R11" s="38" t="n">
        <x:f>N11/Q11-1</x:f>
        <x:v>0</x:v>
      </x:c>
      <x:c r="S11" s="39" t="n">
        <x:f>MAX(S10,P11)</x:f>
        <x:v>1.03440681733047</x:v>
      </x:c>
      <x:c r="T11" s="38" t="n">
        <x:f>P11/S11-1</x:f>
        <x:v>0</x:v>
      </x:c>
      <x:c r="U11" s="33" t="n">
        <x:f>IF(AND(L11=1,L10=0),1,0)</x:f>
        <x:v>0</x:v>
      </x:c>
      <x:c r="V11" s="33" t="n">
        <x:f>IF(AND(L11=0,L10=1),1,0)</x:f>
        <x:v>0</x:v>
      </x:c>
      <x:c r="W11" s="33" t="n">
        <x:f>IF(L11=K10,0,1)</x:f>
        <x:v>0</x:v>
      </x:c>
    </x:row>
    <x:row r="12">
      <x:c r="A12" s="29" t="n">
        <x:v>45867.5625</x:v>
      </x:c>
      <x:c r="B12" s="30" t="n">
        <x:v>177.9600067138672</x:v>
      </x:c>
      <x:c r="C12" s="30" t="n">
        <x:v>179.3800048828125</x:v>
      </x:c>
      <x:c r="D12" s="30" t="n">
        <x:v>175.02000427246094</x:v>
      </x:c>
      <x:c r="E12" s="30" t="n">
        <x:v>175.50999450683594</x:v>
      </x:c>
      <x:c r="F12" s="30" t="n">
        <x:v>175.2765350341797</x:v>
      </x:c>
      <x:c r="G12" s="31" t="n">
        <x:v>154077500</x:v>
      </x:c>
      <x:c r="H12" s="32" t="n">
        <x:f>F12/F11-1</x:f>
        <x:v>-0.0070155980940657114</x:v>
      </x:c>
      <x:c r="I12" s="35"/>
      <x:c r="J12" s="35"/>
      <x:c r="K12" s="33" t="n">
        <x:f>IF(COUNT(I12:J12)=2,IF(I12&gt;J12,1,0),0)</x:f>
        <x:v>0</x:v>
      </x:c>
      <x:c r="L12" s="33" t="n">
        <x:f>K11</x:f>
        <x:v>0</x:v>
      </x:c>
      <x:c r="M12" s="36" t="n">
        <x:f>L12*H12-IF(L12&lt;&gt;L11,'Assumptions'!$B$7+'Assumptions'!$B$8,0)</x:f>
        <x:v>0</x:v>
      </x:c>
      <x:c r="N12" s="37" t="n">
        <x:f>N11*(1+M12)</x:f>
        <x:v>1</x:v>
      </x:c>
      <x:c r="O12" s="36" t="n">
        <x:f>H12</x:f>
        <x:v>-0.0070155980940657114</x:v>
      </x:c>
      <x:c r="P12" s="37" t="n">
        <x:f>P11*(1+O12)</x:f>
        <x:v>1.0271498348343178</x:v>
      </x:c>
      <x:c r="Q12" s="34" t="n">
        <x:f>MAX(Q11,N12)</x:f>
        <x:v>1</x:v>
      </x:c>
      <x:c r="R12" s="38" t="n">
        <x:f>N12/Q12-1</x:f>
        <x:v>0</x:v>
      </x:c>
      <x:c r="S12" s="39" t="n">
        <x:f>MAX(S11,P12)</x:f>
        <x:v>1.03440681733047</x:v>
      </x:c>
      <x:c r="T12" s="38" t="n">
        <x:f>P12/S12-1</x:f>
        <x:v>-0.0070155980940656</x:v>
      </x:c>
      <x:c r="U12" s="33" t="n">
        <x:f>IF(AND(L12=1,L11=0),1,0)</x:f>
        <x:v>0</x:v>
      </x:c>
      <x:c r="V12" s="33" t="n">
        <x:f>IF(AND(L12=0,L11=1),1,0)</x:f>
        <x:v>0</x:v>
      </x:c>
      <x:c r="W12" s="33" t="n">
        <x:f>IF(L12=K11,0,1)</x:f>
        <x:v>0</x:v>
      </x:c>
    </x:row>
    <x:row r="13">
      <x:c r="A13" s="29" t="n">
        <x:v>45868.5625</x:v>
      </x:c>
      <x:c r="B13" s="30" t="n">
        <x:v>176.50999450683594</x:v>
      </x:c>
      <x:c r="C13" s="30" t="n">
        <x:v>179.88999938964844</x:v>
      </x:c>
      <x:c r="D13" s="30" t="n">
        <x:v>176.0399932861328</x:v>
      </x:c>
      <x:c r="E13" s="30" t="n">
        <x:v>179.27000427246094</x:v>
      </x:c>
      <x:c r="F13" s="30" t="n">
        <x:v>179.03155517578125</x:v>
      </x:c>
      <x:c r="G13" s="31" t="n">
        <x:v>174312200</x:v>
      </x:c>
      <x:c r="H13" s="32" t="n">
        <x:f>F13/F12-1</x:f>
        <x:v>0.021423404683743374</x:v>
      </x:c>
      <x:c r="I13" s="35"/>
      <x:c r="J13" s="35"/>
      <x:c r="K13" s="33" t="n">
        <x:f>IF(COUNT(I13:J13)=2,IF(I13&gt;J13,1,0),0)</x:f>
        <x:v>0</x:v>
      </x:c>
      <x:c r="L13" s="33" t="n">
        <x:f>K12</x:f>
        <x:v>0</x:v>
      </x:c>
      <x:c r="M13" s="36" t="n">
        <x:f>L13*H13-IF(L13&lt;&gt;L12,'Assumptions'!$B$7+'Assumptions'!$B$8,0)</x:f>
        <x:v>0</x:v>
      </x:c>
      <x:c r="N13" s="37" t="n">
        <x:f>N12*(1+M13)</x:f>
        <x:v>1</x:v>
      </x:c>
      <x:c r="O13" s="36" t="n">
        <x:f>H13</x:f>
        <x:v>0.021423404683743374</x:v>
      </x:c>
      <x:c r="P13" s="37" t="n">
        <x:f>P12*(1+O13)</x:f>
        <x:v>1.0491548814168135</x:v>
      </x:c>
      <x:c r="Q13" s="34" t="n">
        <x:f>MAX(Q12,N13)</x:f>
        <x:v>1</x:v>
      </x:c>
      <x:c r="R13" s="38" t="n">
        <x:f>N13/Q13-1</x:f>
        <x:v>0</x:v>
      </x:c>
      <x:c r="S13" s="39" t="n">
        <x:f>MAX(S12,P13)</x:f>
        <x:v>1.0491548814168135</x:v>
      </x:c>
      <x:c r="T13" s="38" t="n">
        <x:f>P13/S13-1</x:f>
        <x:v>0</x:v>
      </x:c>
      <x:c r="U13" s="33" t="n">
        <x:f>IF(AND(L13=1,L12=0),1,0)</x:f>
        <x:v>0</x:v>
      </x:c>
      <x:c r="V13" s="33" t="n">
        <x:f>IF(AND(L13=0,L12=1),1,0)</x:f>
        <x:v>0</x:v>
      </x:c>
      <x:c r="W13" s="33" t="n">
        <x:f>IF(L13=K12,0,1)</x:f>
        <x:v>0</x:v>
      </x:c>
    </x:row>
    <x:row r="14">
      <x:c r="A14" s="29" t="n">
        <x:v>45869.5625</x:v>
      </x:c>
      <x:c r="B14" s="30" t="n">
        <x:v>182.89999389648438</x:v>
      </x:c>
      <x:c r="C14" s="30" t="n">
        <x:v>183.3000030517578</x:v>
      </x:c>
      <x:c r="D14" s="30" t="n">
        <x:v>175.92999267578125</x:v>
      </x:c>
      <x:c r="E14" s="30" t="n">
        <x:v>177.8699951171875</x:v>
      </x:c>
      <x:c r="F14" s="30" t="n">
        <x:v>177.63340759277344</x:v>
      </x:c>
      <x:c r="G14" s="31" t="n">
        <x:v>221685400</x:v>
      </x:c>
      <x:c r="H14" s="32" t="n">
        <x:f>F14/F13-1</x:f>
        <x:v>-0.0078095036466339085</x:v>
      </x:c>
      <x:c r="I14" s="35"/>
      <x:c r="J14" s="35"/>
      <x:c r="K14" s="33" t="n">
        <x:f>IF(COUNT(I14:J14)=2,IF(I14&gt;J14,1,0),0)</x:f>
        <x:v>0</x:v>
      </x:c>
      <x:c r="L14" s="33" t="n">
        <x:f>K13</x:f>
        <x:v>0</x:v>
      </x:c>
      <x:c r="M14" s="36" t="n">
        <x:f>L14*H14-IF(L14&lt;&gt;L13,'Assumptions'!$B$7+'Assumptions'!$B$8,0)</x:f>
        <x:v>0</x:v>
      </x:c>
      <x:c r="N14" s="37" t="n">
        <x:f>N13*(1+M14)</x:f>
        <x:v>1</x:v>
      </x:c>
      <x:c r="O14" s="36" t="n">
        <x:f>H14</x:f>
        <x:v>-0.0078095036466339085</x:v>
      </x:c>
      <x:c r="P14" s="37" t="n">
        <x:f>P13*(1+O14)</x:f>
        <x:v>1.0409615025445051</x:v>
      </x:c>
      <x:c r="Q14" s="34" t="n">
        <x:f>MAX(Q13,N14)</x:f>
        <x:v>1</x:v>
      </x:c>
      <x:c r="R14" s="38" t="n">
        <x:f>N14/Q14-1</x:f>
        <x:v>0</x:v>
      </x:c>
      <x:c r="S14" s="39" t="n">
        <x:f>MAX(S13,P14)</x:f>
        <x:v>1.0491548814168135</x:v>
      </x:c>
      <x:c r="T14" s="38" t="n">
        <x:f>P14/S14-1</x:f>
        <x:v>-0.0078095036466337975</x:v>
      </x:c>
      <x:c r="U14" s="33" t="n">
        <x:f>IF(AND(L14=1,L13=0),1,0)</x:f>
        <x:v>0</x:v>
      </x:c>
      <x:c r="V14" s="33" t="n">
        <x:f>IF(AND(L14=0,L13=1),1,0)</x:f>
        <x:v>0</x:v>
      </x:c>
      <x:c r="W14" s="33" t="n">
        <x:f>IF(L14=K13,0,1)</x:f>
        <x:v>0</x:v>
      </x:c>
    </x:row>
    <x:row r="15">
      <x:c r="A15" s="29" t="n">
        <x:v>45870.5625</x:v>
      </x:c>
      <x:c r="B15" s="30" t="n">
        <x:v>174.08999633789062</x:v>
      </x:c>
      <x:c r="C15" s="30" t="n">
        <x:v>176.5399932861328</x:v>
      </x:c>
      <x:c r="D15" s="30" t="n">
        <x:v>170.88999938964844</x:v>
      </x:c>
      <x:c r="E15" s="30" t="n">
        <x:v>173.72000122070312</x:v>
      </x:c>
      <x:c r="F15" s="30" t="n">
        <x:v>173.4889373779297</x:v>
      </x:c>
      <x:c r="G15" s="31" t="n">
        <x:v>204529000</x:v>
      </x:c>
      <x:c r="H15" s="32" t="n">
        <x:f>F15/F14-1</x:f>
        <x:v>-0.023331592131278556</x:v>
      </x:c>
      <x:c r="I15" s="35"/>
      <x:c r="J15" s="35"/>
      <x:c r="K15" s="33" t="n">
        <x:f>IF(COUNT(I15:J15)=2,IF(I15&gt;J15,1,0),0)</x:f>
        <x:v>0</x:v>
      </x:c>
      <x:c r="L15" s="33" t="n">
        <x:f>K14</x:f>
        <x:v>0</x:v>
      </x:c>
      <x:c r="M15" s="36" t="n">
        <x:f>L15*H15-IF(L15&lt;&gt;L14,'Assumptions'!$B$7+'Assumptions'!$B$8,0)</x:f>
        <x:v>0</x:v>
      </x:c>
      <x:c r="N15" s="37" t="n">
        <x:f>N14*(1+M15)</x:f>
        <x:v>1</x:v>
      </x:c>
      <x:c r="O15" s="36" t="n">
        <x:f>H15</x:f>
        <x:v>-0.023331592131278556</x:v>
      </x:c>
      <x:c r="P15" s="37" t="n">
        <x:f>P14*(1+O15)</x:f>
        <x:v>1.016674213342774</x:v>
      </x:c>
      <x:c r="Q15" s="34" t="n">
        <x:f>MAX(Q14,N15)</x:f>
        <x:v>1</x:v>
      </x:c>
      <x:c r="R15" s="38" t="n">
        <x:f>N15/Q15-1</x:f>
        <x:v>0</x:v>
      </x:c>
      <x:c r="S15" s="39" t="n">
        <x:f>MAX(S14,P15)</x:f>
        <x:v>1.0491548814168135</x:v>
      </x:c>
      <x:c r="T15" s="38" t="n">
        <x:f>P15/S15-1</x:f>
        <x:v>-0.030958887624081277</x:v>
      </x:c>
      <x:c r="U15" s="33" t="n">
        <x:f>IF(AND(L15=1,L14=0),1,0)</x:f>
        <x:v>0</x:v>
      </x:c>
      <x:c r="V15" s="33" t="n">
        <x:f>IF(AND(L15=0,L14=1),1,0)</x:f>
        <x:v>0</x:v>
      </x:c>
      <x:c r="W15" s="33" t="n">
        <x:f>IF(L15=K14,0,1)</x:f>
        <x:v>0</x:v>
      </x:c>
    </x:row>
    <x:row r="16">
      <x:c r="A16" s="29" t="n">
        <x:v>45873.5625</x:v>
      </x:c>
      <x:c r="B16" s="30" t="n">
        <x:v>175.16000366210938</x:v>
      </x:c>
      <x:c r="C16" s="30" t="n">
        <x:v>180.1999969482422</x:v>
      </x:c>
      <x:c r="D16" s="30" t="n">
        <x:v>174.52000427246094</x:v>
      </x:c>
      <x:c r="E16" s="30" t="n">
        <x:v>180</x:v>
      </x:c>
      <x:c r="F16" s="30" t="n">
        <x:v>179.76058959960938</x:v>
      </x:c>
      <x:c r="G16" s="31" t="n">
        <x:v>148174600</x:v>
      </x:c>
      <x:c r="H16" s="32" t="n">
        <x:f>F16/F15-1</x:f>
        <x:v>0.03615015641036212</x:v>
      </x:c>
      <x:c r="I16" s="35"/>
      <x:c r="J16" s="35"/>
      <x:c r="K16" s="33" t="n">
        <x:f>IF(COUNT(I16:J16)=2,IF(I16&gt;J16,1,0),0)</x:f>
        <x:v>0</x:v>
      </x:c>
      <x:c r="L16" s="33" t="n">
        <x:f>K15</x:f>
        <x:v>0</x:v>
      </x:c>
      <x:c r="M16" s="36" t="n">
        <x:f>L16*H16-IF(L16&lt;&gt;L15,'Assumptions'!$B$7+'Assumptions'!$B$8,0)</x:f>
        <x:v>0</x:v>
      </x:c>
      <x:c r="N16" s="37" t="n">
        <x:f>N15*(1+M16)</x:f>
        <x:v>1</x:v>
      </x:c>
      <x:c r="O16" s="36" t="n">
        <x:f>H16</x:f>
        <x:v>0.03615015641036212</x:v>
      </x:c>
      <x:c r="P16" s="37" t="n">
        <x:f>P15*(1+O16)</x:f>
        <x:v>1.0534271451734971</x:v>
      </x:c>
      <x:c r="Q16" s="34" t="n">
        <x:f>MAX(Q15,N16)</x:f>
        <x:v>1</x:v>
      </x:c>
      <x:c r="R16" s="38" t="n">
        <x:f>N16/Q16-1</x:f>
        <x:v>0</x:v>
      </x:c>
      <x:c r="S16" s="39" t="n">
        <x:f>MAX(S15,P16)</x:f>
        <x:v>1.0534271451734971</x:v>
      </x:c>
      <x:c r="T16" s="38" t="n">
        <x:f>P16/S16-1</x:f>
        <x:v>0</x:v>
      </x:c>
      <x:c r="U16" s="33" t="n">
        <x:f>IF(AND(L16=1,L15=0),1,0)</x:f>
        <x:v>0</x:v>
      </x:c>
      <x:c r="V16" s="33" t="n">
        <x:f>IF(AND(L16=0,L15=1),1,0)</x:f>
        <x:v>0</x:v>
      </x:c>
      <x:c r="W16" s="33" t="n">
        <x:f>IF(L16=K15,0,1)</x:f>
        <x:v>0</x:v>
      </x:c>
    </x:row>
    <x:row r="17">
      <x:c r="A17" s="29" t="n">
        <x:v>45874.5625</x:v>
      </x:c>
      <x:c r="B17" s="30" t="n">
        <x:v>179.6199951171875</x:v>
      </x:c>
      <x:c r="C17" s="30" t="n">
        <x:v>180.25999450683594</x:v>
      </x:c>
      <x:c r="D17" s="30" t="n">
        <x:v>175.89999389648438</x:v>
      </x:c>
      <x:c r="E17" s="30" t="n">
        <x:v>178.25999450683594</x:v>
      </x:c>
      <x:c r="F17" s="30" t="n">
        <x:v>178.02288818359375</x:v>
      </x:c>
      <x:c r="G17" s="31" t="n">
        <x:v>156407600</x:v>
      </x:c>
      <x:c r="H17" s="32" t="n">
        <x:f>F17/F16-1</x:f>
        <x:v>-0.009666754097136132</x:v>
      </x:c>
      <x:c r="I17" s="35"/>
      <x:c r="J17" s="35"/>
      <x:c r="K17" s="33" t="n">
        <x:f>IF(COUNT(I17:J17)=2,IF(I17&gt;J17,1,0),0)</x:f>
        <x:v>0</x:v>
      </x:c>
      <x:c r="L17" s="33" t="n">
        <x:f>K16</x:f>
        <x:v>0</x:v>
      </x:c>
      <x:c r="M17" s="36" t="n">
        <x:f>L17*H17-IF(L17&lt;&gt;L16,'Assumptions'!$B$7+'Assumptions'!$B$8,0)</x:f>
        <x:v>0</x:v>
      </x:c>
      <x:c r="N17" s="37" t="n">
        <x:f>N16*(1+M17)</x:f>
        <x:v>1</x:v>
      </x:c>
      <x:c r="O17" s="36" t="n">
        <x:f>H17</x:f>
        <x:v>-0.009666754097136132</x:v>
      </x:c>
      <x:c r="P17" s="37" t="n">
        <x:f>P16*(1+O17)</x:f>
        <x:v>1.0432439240018567</x:v>
      </x:c>
      <x:c r="Q17" s="34" t="n">
        <x:f>MAX(Q16,N17)</x:f>
        <x:v>1</x:v>
      </x:c>
      <x:c r="R17" s="38" t="n">
        <x:f>N17/Q17-1</x:f>
        <x:v>0</x:v>
      </x:c>
      <x:c r="S17" s="39" t="n">
        <x:f>MAX(S16,P17)</x:f>
        <x:v>1.0534271451734971</x:v>
      </x:c>
      <x:c r="T17" s="38" t="n">
        <x:f>P17/S17-1</x:f>
        <x:v>-0.009666754097136243</x:v>
      </x:c>
      <x:c r="U17" s="33" t="n">
        <x:f>IF(AND(L17=1,L16=0),1,0)</x:f>
        <x:v>0</x:v>
      </x:c>
      <x:c r="V17" s="33" t="n">
        <x:f>IF(AND(L17=0,L16=1),1,0)</x:f>
        <x:v>0</x:v>
      </x:c>
      <x:c r="W17" s="33" t="n">
        <x:f>IF(L17=K16,0,1)</x:f>
        <x:v>0</x:v>
      </x:c>
    </x:row>
    <x:row r="18">
      <x:c r="A18" s="29" t="n">
        <x:v>45875.5625</x:v>
      </x:c>
      <x:c r="B18" s="30" t="n">
        <x:v>176.3300018310547</x:v>
      </x:c>
      <x:c r="C18" s="30" t="n">
        <x:v>179.89999389648438</x:v>
      </x:c>
      <x:c r="D18" s="30" t="n">
        <x:v>176.25</x:v>
      </x:c>
      <x:c r="E18" s="30" t="n">
        <x:v>179.4199981689453</x:v>
      </x:c>
      <x:c r="F18" s="30" t="n">
        <x:v>179.1813507080078</x:v>
      </x:c>
      <x:c r="G18" s="31" t="n">
        <x:v>137192300</x:v>
      </x:c>
      <x:c r="H18" s="32" t="n">
        <x:f>F18/F17-1</x:f>
        <x:v>0.006507379675917635</x:v>
      </x:c>
      <x:c r="I18" s="35"/>
      <x:c r="J18" s="35"/>
      <x:c r="K18" s="33" t="n">
        <x:f>IF(COUNT(I18:J18)=2,IF(I18&gt;J18,1,0),0)</x:f>
        <x:v>0</x:v>
      </x:c>
      <x:c r="L18" s="33" t="n">
        <x:f>K17</x:f>
        <x:v>0</x:v>
      </x:c>
      <x:c r="M18" s="36" t="n">
        <x:f>L18*H18-IF(L18&lt;&gt;L17,'Assumptions'!$B$7+'Assumptions'!$B$8,0)</x:f>
        <x:v>0</x:v>
      </x:c>
      <x:c r="N18" s="37" t="n">
        <x:f>N17*(1+M18)</x:f>
        <x:v>1</x:v>
      </x:c>
      <x:c r="O18" s="36" t="n">
        <x:f>H18</x:f>
        <x:v>0.006507379675917635</x:v>
      </x:c>
      <x:c r="P18" s="37" t="n">
        <x:f>P17*(1+O18)</x:f>
        <x:v>1.050032708309931</x:v>
      </x:c>
      <x:c r="Q18" s="34" t="n">
        <x:f>MAX(Q17,N18)</x:f>
        <x:v>1</x:v>
      </x:c>
      <x:c r="R18" s="38" t="n">
        <x:f>N18/Q18-1</x:f>
        <x:v>0</x:v>
      </x:c>
      <x:c r="S18" s="39" t="n">
        <x:f>MAX(S17,P18)</x:f>
        <x:v>1.0534271451734971</x:v>
      </x:c>
      <x:c r="T18" s="38" t="n">
        <x:f>P18/S18-1</x:f>
        <x:v>-0.0032222796603623705</x:v>
      </x:c>
      <x:c r="U18" s="33" t="n">
        <x:f>IF(AND(L18=1,L17=0),1,0)</x:f>
        <x:v>0</x:v>
      </x:c>
      <x:c r="V18" s="33" t="n">
        <x:f>IF(AND(L18=0,L17=1),1,0)</x:f>
        <x:v>0</x:v>
      </x:c>
      <x:c r="W18" s="33" t="n">
        <x:f>IF(L18=K17,0,1)</x:f>
        <x:v>0</x:v>
      </x:c>
    </x:row>
    <x:row r="19">
      <x:c r="A19" s="29" t="n">
        <x:v>45876.5625</x:v>
      </x:c>
      <x:c r="B19" s="30" t="n">
        <x:v>181.57000732421875</x:v>
      </x:c>
      <x:c r="C19" s="30" t="n">
        <x:v>183.8800048828125</x:v>
      </x:c>
      <x:c r="D19" s="30" t="n">
        <x:v>178.8000030517578</x:v>
      </x:c>
      <x:c r="E19" s="30" t="n">
        <x:v>180.77000427246094</x:v>
      </x:c>
      <x:c r="F19" s="30" t="n">
        <x:v>180.52957153320312</x:v>
      </x:c>
      <x:c r="G19" s="31" t="n">
        <x:v>151878400</x:v>
      </x:c>
      <x:c r="H19" s="32" t="n">
        <x:f>F19/F18-1</x:f>
        <x:v>0.007524336767571027</x:v>
      </x:c>
      <x:c r="I19" s="35"/>
      <x:c r="J19" s="35"/>
      <x:c r="K19" s="33" t="n">
        <x:f>IF(COUNT(I19:J19)=2,IF(I19&gt;J19,1,0),0)</x:f>
        <x:v>0</x:v>
      </x:c>
      <x:c r="L19" s="33" t="n">
        <x:f>K18</x:f>
        <x:v>0</x:v>
      </x:c>
      <x:c r="M19" s="36" t="n">
        <x:f>L19*H19-IF(L19&lt;&gt;L18,'Assumptions'!$B$7+'Assumptions'!$B$8,0)</x:f>
        <x:v>0</x:v>
      </x:c>
      <x:c r="N19" s="37" t="n">
        <x:f>N18*(1+M19)</x:f>
        <x:v>1</x:v>
      </x:c>
      <x:c r="O19" s="36" t="n">
        <x:f>H19</x:f>
        <x:v>0.007524336767571027</x:v>
      </x:c>
      <x:c r="P19" s="37" t="n">
        <x:f>P18*(1+O19)</x:f>
        <x:v>1.0579335080242196</x:v>
      </x:c>
      <x:c r="Q19" s="34" t="n">
        <x:f>MAX(Q18,N19)</x:f>
        <x:v>1</x:v>
      </x:c>
      <x:c r="R19" s="38" t="n">
        <x:f>N19/Q19-1</x:f>
        <x:v>0</x:v>
      </x:c>
      <x:c r="S19" s="39" t="n">
        <x:f>MAX(S18,P19)</x:f>
        <x:v>1.0579335080242196</x:v>
      </x:c>
      <x:c r="T19" s="38" t="n">
        <x:f>P19/S19-1</x:f>
        <x:v>0</x:v>
      </x:c>
      <x:c r="U19" s="33" t="n">
        <x:f>IF(AND(L19=1,L18=0),1,0)</x:f>
        <x:v>0</x:v>
      </x:c>
      <x:c r="V19" s="33" t="n">
        <x:f>IF(AND(L19=0,L18=1),1,0)</x:f>
        <x:v>0</x:v>
      </x:c>
      <x:c r="W19" s="33" t="n">
        <x:f>IF(L19=K18,0,1)</x:f>
        <x:v>0</x:v>
      </x:c>
    </x:row>
    <x:row r="20">
      <x:c r="A20" s="29" t="n">
        <x:v>45877.5625</x:v>
      </x:c>
      <x:c r="B20" s="30" t="n">
        <x:v>181.5500030517578</x:v>
      </x:c>
      <x:c r="C20" s="30" t="n">
        <x:v>183.3000030517578</x:v>
      </x:c>
      <x:c r="D20" s="30" t="n">
        <x:v>180.39999389648438</x:v>
      </x:c>
      <x:c r="E20" s="30" t="n">
        <x:v>182.6999969482422</x:v>
      </x:c>
      <x:c r="F20" s="30" t="n">
        <x:v>182.45700073242188</x:v>
      </x:c>
      <x:c r="G20" s="31" t="n">
        <x:v>123396700</x:v>
      </x:c>
      <x:c r="H20" s="32" t="n">
        <x:f>F20/F19-1</x:f>
        <x:v>0.01067652896336857</x:v>
      </x:c>
      <x:c r="I20" s="35"/>
      <x:c r="J20" s="35"/>
      <x:c r="K20" s="33" t="n">
        <x:f>IF(COUNT(I20:J20)=2,IF(I20&gt;J20,1,0),0)</x:f>
        <x:v>0</x:v>
      </x:c>
      <x:c r="L20" s="33" t="n">
        <x:f>K19</x:f>
        <x:v>0</x:v>
      </x:c>
      <x:c r="M20" s="36" t="n">
        <x:f>L20*H20-IF(L20&lt;&gt;L19,'Assumptions'!$B$7+'Assumptions'!$B$8,0)</x:f>
        <x:v>0</x:v>
      </x:c>
      <x:c r="N20" s="37" t="n">
        <x:f>N19*(1+M20)</x:f>
        <x:v>1</x:v>
      </x:c>
      <x:c r="O20" s="36" t="n">
        <x:f>H20</x:f>
        <x:v>0.01067652896336857</x:v>
      </x:c>
      <x:c r="P20" s="37" t="n">
        <x:f>P19*(1+O20)</x:f>
        <x:v>1.0692285657639582</x:v>
      </x:c>
      <x:c r="Q20" s="34" t="n">
        <x:f>MAX(Q19,N20)</x:f>
        <x:v>1</x:v>
      </x:c>
      <x:c r="R20" s="38" t="n">
        <x:f>N20/Q20-1</x:f>
        <x:v>0</x:v>
      </x:c>
      <x:c r="S20" s="39" t="n">
        <x:f>MAX(S19,P20)</x:f>
        <x:v>1.0692285657639582</x:v>
      </x:c>
      <x:c r="T20" s="38" t="n">
        <x:f>P20/S20-1</x:f>
        <x:v>0</x:v>
      </x:c>
      <x:c r="U20" s="33" t="n">
        <x:f>IF(AND(L20=1,L19=0),1,0)</x:f>
        <x:v>0</x:v>
      </x:c>
      <x:c r="V20" s="33" t="n">
        <x:f>IF(AND(L20=0,L19=1),1,0)</x:f>
        <x:v>0</x:v>
      </x:c>
      <x:c r="W20" s="33" t="n">
        <x:f>IF(L20=K19,0,1)</x:f>
        <x:v>0</x:v>
      </x:c>
    </x:row>
    <x:row r="21">
      <x:c r="A21" s="29" t="n">
        <x:v>45880.5625</x:v>
      </x:c>
      <x:c r="B21" s="30" t="n">
        <x:v>182.0500030517578</x:v>
      </x:c>
      <x:c r="C21" s="30" t="n">
        <x:v>183.83999633789062</x:v>
      </x:c>
      <x:c r="D21" s="30" t="n">
        <x:v>180.25</x:v>
      </x:c>
      <x:c r="E21" s="30" t="n">
        <x:v>182.05999755859375</x:v>
      </x:c>
      <x:c r="F21" s="30" t="n">
        <x:v>181.8178253173828</x:v>
      </x:c>
      <x:c r="G21" s="31" t="n">
        <x:v>138323200</x:v>
      </x:c>
      <x:c r="H21" s="32" t="n">
        <x:f>F21/F20-1</x:f>
        <x:v>-0.0035031564284915273</x:v>
      </x:c>
      <x:c r="I21" s="35" t="n">
        <x:f>AVERAGE(F2:F21)</x:f>
        <x:v>175.27855072021484</x:v>
      </x:c>
      <x:c r="J21" s="35"/>
      <x:c r="K21" s="33" t="n">
        <x:f>IF(COUNT(I21:J21)=2,IF(I21&gt;J21,1,0),0)</x:f>
        <x:v>0</x:v>
      </x:c>
      <x:c r="L21" s="33" t="n">
        <x:f>K20</x:f>
        <x:v>0</x:v>
      </x:c>
      <x:c r="M21" s="36" t="n">
        <x:f>L21*H21-IF(L21&lt;&gt;L20,'Assumptions'!$B$7+'Assumptions'!$B$8,0)</x:f>
        <x:v>0</x:v>
      </x:c>
      <x:c r="N21" s="37" t="n">
        <x:f>N20*(1+M21)</x:f>
        <x:v>1</x:v>
      </x:c>
      <x:c r="O21" s="36" t="n">
        <x:f>H21</x:f>
        <x:v>-0.0035031564284915273</x:v>
      </x:c>
      <x:c r="P21" s="37" t="n">
        <x:f>P20*(1+O21)</x:f>
        <x:v>1.0654828908402754</x:v>
      </x:c>
      <x:c r="Q21" s="34" t="n">
        <x:f>MAX(Q20,N21)</x:f>
        <x:v>1</x:v>
      </x:c>
      <x:c r="R21" s="38" t="n">
        <x:f>N21/Q21-1</x:f>
        <x:v>0</x:v>
      </x:c>
      <x:c r="S21" s="39" t="n">
        <x:f>MAX(S20,P21)</x:f>
        <x:v>1.0692285657639582</x:v>
      </x:c>
      <x:c r="T21" s="38" t="n">
        <x:f>P21/S21-1</x:f>
        <x:v>-0.0035031564284915273</x:v>
      </x:c>
      <x:c r="U21" s="33" t="n">
        <x:f>IF(AND(L21=1,L20=0),1,0)</x:f>
        <x:v>0</x:v>
      </x:c>
      <x:c r="V21" s="33" t="n">
        <x:f>IF(AND(L21=0,L20=1),1,0)</x:f>
        <x:v>0</x:v>
      </x:c>
      <x:c r="W21" s="33" t="n">
        <x:f>IF(L21=K20,0,1)</x:f>
        <x:v>0</x:v>
      </x:c>
    </x:row>
    <x:row r="22">
      <x:c r="A22" s="29" t="n">
        <x:v>45881.5625</x:v>
      </x:c>
      <x:c r="B22" s="30" t="n">
        <x:v>182.9600067138672</x:v>
      </x:c>
      <x:c r="C22" s="30" t="n">
        <x:v>184.47999572753906</x:v>
      </x:c>
      <x:c r="D22" s="30" t="n">
        <x:v>179.4600067138672</x:v>
      </x:c>
      <x:c r="E22" s="30" t="n">
        <x:v>183.16000366210938</x:v>
      </x:c>
      <x:c r="F22" s="30" t="n">
        <x:v>182.9163818359375</x:v>
      </x:c>
      <x:c r="G22" s="31" t="n">
        <x:v>145485700</x:v>
      </x:c>
      <x:c r="H22" s="32" t="n">
        <x:f>F22/F21-1</x:f>
        <x:v>0.00604207269907131</x:v>
      </x:c>
      <x:c r="I22" s="35" t="n">
        <x:f>AVERAGE(F3:F22)</x:f>
        <x:v>175.9007225036621</x:v>
      </x:c>
      <x:c r="J22" s="35"/>
      <x:c r="K22" s="33" t="n">
        <x:f>IF(COUNT(I22:J22)=2,IF(I22&gt;J22,1,0),0)</x:f>
        <x:v>0</x:v>
      </x:c>
      <x:c r="L22" s="33" t="n">
        <x:f>K21</x:f>
        <x:v>0</x:v>
      </x:c>
      <x:c r="M22" s="36" t="n">
        <x:f>L22*H22-IF(L22&lt;&gt;L21,'Assumptions'!$B$7+'Assumptions'!$B$8,0)</x:f>
        <x:v>0</x:v>
      </x:c>
      <x:c r="N22" s="37" t="n">
        <x:f>N21*(1+M22)</x:f>
        <x:v>1</x:v>
      </x:c>
      <x:c r="O22" s="36" t="n">
        <x:f>H22</x:f>
        <x:v>0.00604207269907131</x:v>
      </x:c>
      <x:c r="P22" s="37" t="n">
        <x:f>P21*(1+O22)</x:f>
        <x:v>1.071920615926349</x:v>
      </x:c>
      <x:c r="Q22" s="34" t="n">
        <x:f>MAX(Q21,N22)</x:f>
        <x:v>1</x:v>
      </x:c>
      <x:c r="R22" s="38" t="n">
        <x:f>N22/Q22-1</x:f>
        <x:v>0</x:v>
      </x:c>
      <x:c r="S22" s="39" t="n">
        <x:f>MAX(S21,P22)</x:f>
        <x:v>1.071920615926349</x:v>
      </x:c>
      <x:c r="T22" s="38" t="n">
        <x:f>P22/S22-1</x:f>
        <x:v>0</x:v>
      </x:c>
      <x:c r="U22" s="33" t="n">
        <x:f>IF(AND(L22=1,L21=0),1,0)</x:f>
        <x:v>0</x:v>
      </x:c>
      <x:c r="V22" s="33" t="n">
        <x:f>IF(AND(L22=0,L21=1),1,0)</x:f>
        <x:v>0</x:v>
      </x:c>
      <x:c r="W22" s="33" t="n">
        <x:f>IF(L22=K21,0,1)</x:f>
        <x:v>0</x:v>
      </x:c>
    </x:row>
    <x:row r="23">
      <x:c r="A23" s="29" t="n">
        <x:v>45882.5625</x:v>
      </x:c>
      <x:c r="B23" s="30" t="n">
        <x:v>182.6199951171875</x:v>
      </x:c>
      <x:c r="C23" s="30" t="n">
        <x:v>183.97000122070312</x:v>
      </x:c>
      <x:c r="D23" s="30" t="n">
        <x:v>179.35000610351562</x:v>
      </x:c>
      <x:c r="E23" s="30" t="n">
        <x:v>181.58999633789062</x:v>
      </x:c>
      <x:c r="F23" s="30" t="n">
        <x:v>181.3484649658203</x:v>
      </x:c>
      <x:c r="G23" s="31" t="n">
        <x:v>179871700</x:v>
      </x:c>
      <x:c r="H23" s="32" t="n">
        <x:f>F23/F22-1</x:f>
        <x:v>-0.008571768446215433</x:v>
      </x:c>
      <x:c r="I23" s="35" t="n">
        <x:f>AVERAGE(F4:F23)</x:f>
        <x:v>176.41104278564453</x:v>
      </x:c>
      <x:c r="J23" s="35"/>
      <x:c r="K23" s="33" t="n">
        <x:f>IF(COUNT(I23:J23)=2,IF(I23&gt;J23,1,0),0)</x:f>
        <x:v>0</x:v>
      </x:c>
      <x:c r="L23" s="33" t="n">
        <x:f>K22</x:f>
        <x:v>0</x:v>
      </x:c>
      <x:c r="M23" s="36" t="n">
        <x:f>L23*H23-IF(L23&lt;&gt;L22,'Assumptions'!$B$7+'Assumptions'!$B$8,0)</x:f>
        <x:v>0</x:v>
      </x:c>
      <x:c r="N23" s="37" t="n">
        <x:f>N22*(1+M23)</x:f>
        <x:v>1</x:v>
      </x:c>
      <x:c r="O23" s="36" t="n">
        <x:f>H23</x:f>
        <x:v>-0.008571768446215433</x:v>
      </x:c>
      <x:c r="P23" s="37" t="n">
        <x:f>P22*(1+O23)</x:f>
        <x:v>1.0627323606139036</x:v>
      </x:c>
      <x:c r="Q23" s="34" t="n">
        <x:f>MAX(Q22,N23)</x:f>
        <x:v>1</x:v>
      </x:c>
      <x:c r="R23" s="38" t="n">
        <x:f>N23/Q23-1</x:f>
        <x:v>0</x:v>
      </x:c>
      <x:c r="S23" s="39" t="n">
        <x:f>MAX(S22,P23)</x:f>
        <x:v>1.071920615926349</x:v>
      </x:c>
      <x:c r="T23" s="38" t="n">
        <x:f>P23/S23-1</x:f>
        <x:v>-0.008571768446215544</x:v>
      </x:c>
      <x:c r="U23" s="33" t="n">
        <x:f>IF(AND(L23=1,L22=0),1,0)</x:f>
        <x:v>0</x:v>
      </x:c>
      <x:c r="V23" s="33" t="n">
        <x:f>IF(AND(L23=0,L22=1),1,0)</x:f>
        <x:v>0</x:v>
      </x:c>
      <x:c r="W23" s="33" t="n">
        <x:f>IF(L23=K22,0,1)</x:f>
        <x:v>0</x:v>
      </x:c>
    </x:row>
    <x:row r="24">
      <x:c r="A24" s="29" t="n">
        <x:v>45883.5625</x:v>
      </x:c>
      <x:c r="B24" s="30" t="n">
        <x:v>179.75</x:v>
      </x:c>
      <x:c r="C24" s="30" t="n">
        <x:v>183.02000427246094</x:v>
      </x:c>
      <x:c r="D24" s="30" t="n">
        <x:v>179.4600067138672</x:v>
      </x:c>
      <x:c r="E24" s="30" t="n">
        <x:v>182.02000427246094</x:v>
      </x:c>
      <x:c r="F24" s="30" t="n">
        <x:v>181.7778778076172</x:v>
      </x:c>
      <x:c r="G24" s="31" t="n">
        <x:v>129554000</x:v>
      </x:c>
      <x:c r="H24" s="32" t="n">
        <x:f>F24/F23-1</x:f>
        <x:v>0.002367887932648305</x:v>
      </x:c>
      <x:c r="I24" s="35" t="n">
        <x:f>AVERAGE(F5:F24)</x:f>
        <x:v>176.8614418029785</x:v>
      </x:c>
      <x:c r="J24" s="35"/>
      <x:c r="K24" s="33" t="n">
        <x:f>IF(COUNT(I24:J24)=2,IF(I24&gt;J24,1,0),0)</x:f>
        <x:v>0</x:v>
      </x:c>
      <x:c r="L24" s="33" t="n">
        <x:f>K23</x:f>
        <x:v>0</x:v>
      </x:c>
      <x:c r="M24" s="36" t="n">
        <x:f>L24*H24-IF(L24&lt;&gt;L23,'Assumptions'!$B$7+'Assumptions'!$B$8,0)</x:f>
        <x:v>0</x:v>
      </x:c>
      <x:c r="N24" s="37" t="n">
        <x:f>N23*(1+M24)</x:f>
        <x:v>1</x:v>
      </x:c>
      <x:c r="O24" s="36" t="n">
        <x:f>H24</x:f>
        <x:v>0.002367887932648305</x:v>
      </x:c>
      <x:c r="P24" s="37" t="n">
        <x:f>P23*(1+O24)</x:f>
        <x:v>1.065248791746236</x:v>
      </x:c>
      <x:c r="Q24" s="34" t="n">
        <x:f>MAX(Q23,N24)</x:f>
        <x:v>1</x:v>
      </x:c>
      <x:c r="R24" s="38" t="n">
        <x:f>N24/Q24-1</x:f>
        <x:v>0</x:v>
      </x:c>
      <x:c r="S24" s="39" t="n">
        <x:f>MAX(S23,P24)</x:f>
        <x:v>1.071920615926349</x:v>
      </x:c>
      <x:c r="T24" s="38" t="n">
        <x:f>P24/S24-1</x:f>
        <x:v>-0.006224177500632533</x:v>
      </x:c>
      <x:c r="U24" s="33" t="n">
        <x:f>IF(AND(L24=1,L23=0),1,0)</x:f>
        <x:v>0</x:v>
      </x:c>
      <x:c r="V24" s="33" t="n">
        <x:f>IF(AND(L24=0,L23=1),1,0)</x:f>
        <x:v>0</x:v>
      </x:c>
      <x:c r="W24" s="33" t="n">
        <x:f>IF(L24=K23,0,1)</x:f>
        <x:v>0</x:v>
      </x:c>
    </x:row>
    <x:row r="25">
      <x:c r="A25" s="29" t="n">
        <x:v>45884.5625</x:v>
      </x:c>
      <x:c r="B25" s="30" t="n">
        <x:v>181.8800048828125</x:v>
      </x:c>
      <x:c r="C25" s="30" t="n">
        <x:v>181.89999389648438</x:v>
      </x:c>
      <x:c r="D25" s="30" t="n">
        <x:v>178.0399932861328</x:v>
      </x:c>
      <x:c r="E25" s="30" t="n">
        <x:v>180.4499969482422</x:v>
      </x:c>
      <x:c r="F25" s="30" t="n">
        <x:v>180.20997619628906</x:v>
      </x:c>
      <x:c r="G25" s="31" t="n">
        <x:v>156602200</x:v>
      </x:c>
      <x:c r="H25" s="32" t="n">
        <x:f>F25/F24-1</x:f>
        <x:v>-0.008625370866016446</x:v>
      </x:c>
      <x:c r="I25" s="35" t="n">
        <x:f>AVERAGE(F6:F25)</x:f>
        <x:v>177.2629066467285</x:v>
      </x:c>
      <x:c r="J25" s="35"/>
      <x:c r="K25" s="33" t="n">
        <x:f>IF(COUNT(I25:J25)=2,IF(I25&gt;J25,1,0),0)</x:f>
        <x:v>0</x:v>
      </x:c>
      <x:c r="L25" s="33" t="n">
        <x:f>K24</x:f>
        <x:v>0</x:v>
      </x:c>
      <x:c r="M25" s="36" t="n">
        <x:f>L25*H25-IF(L25&lt;&gt;L24,'Assumptions'!$B$7+'Assumptions'!$B$8,0)</x:f>
        <x:v>0</x:v>
      </x:c>
      <x:c r="N25" s="37" t="n">
        <x:f>N24*(1+M25)</x:f>
        <x:v>1</x:v>
      </x:c>
      <x:c r="O25" s="36" t="n">
        <x:f>H25</x:f>
        <x:v>-0.008625370866016446</x:v>
      </x:c>
      <x:c r="P25" s="37" t="n">
        <x:f>P24*(1+O25)</x:f>
        <x:v>1.0560606258528489</x:v>
      </x:c>
      <x:c r="Q25" s="34" t="n">
        <x:f>MAX(Q24,N25)</x:f>
        <x:v>1</x:v>
      </x:c>
      <x:c r="R25" s="38" t="n">
        <x:f>N25/Q25-1</x:f>
        <x:v>0</x:v>
      </x:c>
      <x:c r="S25" s="39" t="n">
        <x:f>MAX(S24,P25)</x:f>
        <x:v>1.071920615926349</x:v>
      </x:c>
      <x:c r="T25" s="38" t="n">
        <x:f>P25/S25-1</x:f>
        <x:v>-0.014795862527370085</x:v>
      </x:c>
      <x:c r="U25" s="33" t="n">
        <x:f>IF(AND(L25=1,L24=0),1,0)</x:f>
        <x:v>0</x:v>
      </x:c>
      <x:c r="V25" s="33" t="n">
        <x:f>IF(AND(L25=0,L24=1),1,0)</x:f>
        <x:v>0</x:v>
      </x:c>
      <x:c r="W25" s="33" t="n">
        <x:f>IF(L25=K24,0,1)</x:f>
        <x:v>0</x:v>
      </x:c>
    </x:row>
    <x:row r="26">
      <x:c r="A26" s="29" t="n">
        <x:v>45887.5625</x:v>
      </x:c>
      <x:c r="B26" s="30" t="n">
        <x:v>180.60000610351562</x:v>
      </x:c>
      <x:c r="C26" s="30" t="n">
        <x:v>182.94000244140625</x:v>
      </x:c>
      <x:c r="D26" s="30" t="n">
        <x:v>180.58999633789062</x:v>
      </x:c>
      <x:c r="E26" s="30" t="n">
        <x:v>182.00999450683594</x:v>
      </x:c>
      <x:c r="F26" s="30" t="n">
        <x:v>181.76788330078125</x:v>
      </x:c>
      <x:c r="G26" s="31" t="n">
        <x:v>132008000</x:v>
      </x:c>
      <x:c r="H26" s="32" t="n">
        <x:f>F26/F25-1</x:f>
        <x:v>0.00864495483199712</x:v>
      </x:c>
      <x:c r="I26" s="35" t="n">
        <x:f>AVERAGE(F7:F26)</x:f>
        <x:v>177.7936981201172</x:v>
      </x:c>
      <x:c r="J26" s="35"/>
      <x:c r="K26" s="33" t="n">
        <x:f>IF(COUNT(I26:J26)=2,IF(I26&gt;J26,1,0),0)</x:f>
        <x:v>0</x:v>
      </x:c>
      <x:c r="L26" s="33" t="n">
        <x:f>K25</x:f>
        <x:v>0</x:v>
      </x:c>
      <x:c r="M26" s="36" t="n">
        <x:f>L26*H26-IF(L26&lt;&gt;L25,'Assumptions'!$B$7+'Assumptions'!$B$8,0)</x:f>
        <x:v>0</x:v>
      </x:c>
      <x:c r="N26" s="37" t="n">
        <x:f>N25*(1+M26)</x:f>
        <x:v>1</x:v>
      </x:c>
      <x:c r="O26" s="36" t="n">
        <x:f>H26</x:f>
        <x:v>0.00864495483199712</x:v>
      </x:c>
      <x:c r="P26" s="37" t="n">
        <x:f>P25*(1+O26)</x:f>
        <x:v>1.0651902222631973</x:v>
      </x:c>
      <x:c r="Q26" s="34" t="n">
        <x:f>MAX(Q25,N26)</x:f>
        <x:v>1</x:v>
      </x:c>
      <x:c r="R26" s="38" t="n">
        <x:f>N26/Q26-1</x:f>
        <x:v>0</x:v>
      </x:c>
      <x:c r="S26" s="39" t="n">
        <x:f>MAX(S25,P26)</x:f>
        <x:v>1.071920615926349</x:v>
      </x:c>
      <x:c r="T26" s="38" t="n">
        <x:f>P26/S26-1</x:f>
        <x:v>-0.006278817258622671</x:v>
      </x:c>
      <x:c r="U26" s="33" t="n">
        <x:f>IF(AND(L26=1,L25=0),1,0)</x:f>
        <x:v>0</x:v>
      </x:c>
      <x:c r="V26" s="33" t="n">
        <x:f>IF(AND(L26=0,L25=1),1,0)</x:f>
        <x:v>0</x:v>
      </x:c>
      <x:c r="W26" s="33" t="n">
        <x:f>IF(L26=K25,0,1)</x:f>
        <x:v>0</x:v>
      </x:c>
    </x:row>
    <x:row r="27">
      <x:c r="A27" s="29" t="n">
        <x:v>45888.5625</x:v>
      </x:c>
      <x:c r="B27" s="30" t="n">
        <x:v>182.42999267578125</x:v>
      </x:c>
      <x:c r="C27" s="30" t="n">
        <x:v>182.5</x:v>
      </x:c>
      <x:c r="D27" s="30" t="n">
        <x:v>175.49000549316406</x:v>
      </x:c>
      <x:c r="E27" s="30" t="n">
        <x:v>175.63999938964844</x:v>
      </x:c>
      <x:c r="F27" s="30" t="n">
        <x:v>175.4063720703125</x:v>
      </x:c>
      <x:c r="G27" s="31" t="n">
        <x:v>185229200</x:v>
      </x:c>
      <x:c r="H27" s="32" t="n">
        <x:f>F27/F26-1</x:f>
        <x:v>-0.034997993677144845</x:v>
      </x:c>
      <x:c r="I27" s="35" t="n">
        <x:f>AVERAGE(F8:F27)</x:f>
        <x:v>178.223624420166</x:v>
      </x:c>
      <x:c r="J27" s="35"/>
      <x:c r="K27" s="33" t="n">
        <x:f>IF(COUNT(I27:J27)=2,IF(I27&gt;J27,1,0),0)</x:f>
        <x:v>0</x:v>
      </x:c>
      <x:c r="L27" s="33" t="n">
        <x:f>K26</x:f>
        <x:v>0</x:v>
      </x:c>
      <x:c r="M27" s="36" t="n">
        <x:f>L27*H27-IF(L27&lt;&gt;L26,'Assumptions'!$B$7+'Assumptions'!$B$8,0)</x:f>
        <x:v>0</x:v>
      </x:c>
      <x:c r="N27" s="37" t="n">
        <x:f>N26*(1+M27)</x:f>
        <x:v>1</x:v>
      </x:c>
      <x:c r="O27" s="36" t="n">
        <x:f>H27</x:f>
        <x:v>-0.034997993677144845</x:v>
      </x:c>
      <x:c r="P27" s="37" t="n">
        <x:f>P26*(1+O27)</x:f>
        <x:v>1.0279107015994733</x:v>
      </x:c>
      <x:c r="Q27" s="34" t="n">
        <x:f>MAX(Q26,N27)</x:f>
        <x:v>1</x:v>
      </x:c>
      <x:c r="R27" s="38" t="n">
        <x:f>N27/Q27-1</x:f>
        <x:v>0</x:v>
      </x:c>
      <x:c r="S27" s="39" t="n">
        <x:f>MAX(S26,P27)</x:f>
        <x:v>1.071920615926349</x:v>
      </x:c>
      <x:c r="T27" s="38" t="n">
        <x:f>P27/S27-1</x:f>
        <x:v>-0.04105706492905037</x:v>
      </x:c>
      <x:c r="U27" s="33" t="n">
        <x:f>IF(AND(L27=1,L26=0),1,0)</x:f>
        <x:v>0</x:v>
      </x:c>
      <x:c r="V27" s="33" t="n">
        <x:f>IF(AND(L27=0,L26=1),1,0)</x:f>
        <x:v>0</x:v>
      </x:c>
      <x:c r="W27" s="33" t="n">
        <x:f>IF(L27=K26,0,1)</x:f>
        <x:v>0</x:v>
      </x:c>
    </x:row>
    <x:row r="28">
      <x:c r="A28" s="29" t="n">
        <x:v>45889.5625</x:v>
      </x:c>
      <x:c r="B28" s="30" t="n">
        <x:v>175.1699981689453</x:v>
      </x:c>
      <x:c r="C28" s="30" t="n">
        <x:v>176</x:v>
      </x:c>
      <x:c r="D28" s="30" t="n">
        <x:v>168.8000030517578</x:v>
      </x:c>
      <x:c r="E28" s="30" t="n">
        <x:v>175.39999389648438</x:v>
      </x:c>
      <x:c r="F28" s="30" t="n">
        <x:v>175.16668701171875</x:v>
      </x:c>
      <x:c r="G28" s="31" t="n">
        <x:v>215142700</x:v>
      </x:c>
      <x:c r="H28" s="32" t="n">
        <x:f>F28/F27-1</x:f>
        <x:v>-0.0013664558234958157</x:v>
      </x:c>
      <x:c r="I28" s="35" t="n">
        <x:f>AVERAGE(F9:F28)</x:f>
        <x:v>178.45431671142578</x:v>
      </x:c>
      <x:c r="J28" s="35"/>
      <x:c r="K28" s="33" t="n">
        <x:f>IF(COUNT(I28:J28)=2,IF(I28&gt;J28,1,0),0)</x:f>
        <x:v>0</x:v>
      </x:c>
      <x:c r="L28" s="33" t="n">
        <x:f>K27</x:f>
        <x:v>0</x:v>
      </x:c>
      <x:c r="M28" s="36" t="n">
        <x:f>L28*H28-IF(L28&lt;&gt;L27,'Assumptions'!$B$7+'Assumptions'!$B$8,0)</x:f>
        <x:v>0</x:v>
      </x:c>
      <x:c r="N28" s="37" t="n">
        <x:f>N27*(1+M28)</x:f>
        <x:v>1</x:v>
      </x:c>
      <x:c r="O28" s="36" t="n">
        <x:f>H28</x:f>
        <x:v>-0.0013664558234958157</x:v>
      </x:c>
      <x:c r="P28" s="37" t="n">
        <x:f>P27*(1+O28)</x:f>
        <x:v>1.026506107035239</x:v>
      </x:c>
      <x:c r="Q28" s="34" t="n">
        <x:f>MAX(Q27,N28)</x:f>
        <x:v>1</x:v>
      </x:c>
      <x:c r="R28" s="38" t="n">
        <x:f>N28/Q28-1</x:f>
        <x:v>0</x:v>
      </x:c>
      <x:c r="S28" s="39" t="n">
        <x:f>MAX(S27,P28)</x:f>
        <x:v>1.071920615926349</x:v>
      </x:c>
      <x:c r="T28" s="38" t="n">
        <x:f>P28/S28-1</x:f>
        <x:v>-0.042367418087078224</x:v>
      </x:c>
      <x:c r="U28" s="33" t="n">
        <x:f>IF(AND(L28=1,L27=0),1,0)</x:f>
        <x:v>0</x:v>
      </x:c>
      <x:c r="V28" s="33" t="n">
        <x:f>IF(AND(L28=0,L27=1),1,0)</x:f>
        <x:v>0</x:v>
      </x:c>
      <x:c r="W28" s="33" t="n">
        <x:f>IF(L28=K27,0,1)</x:f>
        <x:v>0</x:v>
      </x:c>
    </x:row>
    <x:row r="29">
      <x:c r="A29" s="29" t="n">
        <x:v>45890.5625</x:v>
      </x:c>
      <x:c r="B29" s="30" t="n">
        <x:v>174.85000610351562</x:v>
      </x:c>
      <x:c r="C29" s="30" t="n">
        <x:v>176.89999389648438</x:v>
      </x:c>
      <x:c r="D29" s="30" t="n">
        <x:v>173.80999755859375</x:v>
      </x:c>
      <x:c r="E29" s="30" t="n">
        <x:v>174.97999572753906</x:v>
      </x:c>
      <x:c r="F29" s="30" t="n">
        <x:v>174.7472381591797</x:v>
      </x:c>
      <x:c r="G29" s="31" t="n">
        <x:v>140040900</x:v>
      </x:c>
      <x:c r="H29" s="32" t="n">
        <x:f>F29/F28-1</x:f>
        <x:v>-0.002394569764917698</x:v>
      </x:c>
      <x:c r="I29" s="35" t="n">
        <x:f>AVERAGE(F10:F29)</x:f>
        <x:v>178.51623306274413</x:v>
      </x:c>
      <x:c r="J29" s="35"/>
      <x:c r="K29" s="33" t="n">
        <x:f>IF(COUNT(I29:J29)=2,IF(I29&gt;J29,1,0),0)</x:f>
        <x:v>0</x:v>
      </x:c>
      <x:c r="L29" s="33" t="n">
        <x:f>K28</x:f>
        <x:v>0</x:v>
      </x:c>
      <x:c r="M29" s="36" t="n">
        <x:f>L29*H29-IF(L29&lt;&gt;L28,'Assumptions'!$B$7+'Assumptions'!$B$8,0)</x:f>
        <x:v>0</x:v>
      </x:c>
      <x:c r="N29" s="37" t="n">
        <x:f>N28*(1+M29)</x:f>
        <x:v>1</x:v>
      </x:c>
      <x:c r="O29" s="36" t="n">
        <x:f>H29</x:f>
        <x:v>-0.002394569764917698</x:v>
      </x:c>
      <x:c r="P29" s="37" t="n">
        <x:f>P28*(1+O29)</x:f>
        <x:v>1.024048066547829</x:v>
      </x:c>
      <x:c r="Q29" s="34" t="n">
        <x:f>MAX(Q28,N29)</x:f>
        <x:v>1</x:v>
      </x:c>
      <x:c r="R29" s="38" t="n">
        <x:f>N29/Q29-1</x:f>
        <x:v>0</x:v>
      </x:c>
      <x:c r="S29" s="39" t="n">
        <x:f>MAX(S28,P29)</x:f>
        <x:v>1.071920615926349</x:v>
      </x:c>
      <x:c r="T29" s="38" t="n">
        <x:f>P29/S29-1</x:f>
        <x:v>-0.04466053611362697</x:v>
      </x:c>
      <x:c r="U29" s="33" t="n">
        <x:f>IF(AND(L29=1,L28=0),1,0)</x:f>
        <x:v>0</x:v>
      </x:c>
      <x:c r="V29" s="33" t="n">
        <x:f>IF(AND(L29=0,L28=1),1,0)</x:f>
        <x:v>0</x:v>
      </x:c>
      <x:c r="W29" s="33" t="n">
        <x:f>IF(L29=K28,0,1)</x:f>
        <x:v>0</x:v>
      </x:c>
    </x:row>
    <x:row r="30">
      <x:c r="A30" s="29" t="n">
        <x:v>45891.5625</x:v>
      </x:c>
      <x:c r="B30" s="30" t="n">
        <x:v>172.61000061035156</x:v>
      </x:c>
      <x:c r="C30" s="30" t="n">
        <x:v>178.58999633789062</x:v>
      </x:c>
      <x:c r="D30" s="30" t="n">
        <x:v>171.1999969482422</x:v>
      </x:c>
      <x:c r="E30" s="30" t="n">
        <x:v>177.99000549316406</x:v>
      </x:c>
      <x:c r="F30" s="30" t="n">
        <x:v>177.75326538085938</x:v>
      </x:c>
      <x:c r="G30" s="31" t="n">
        <x:v>172789400</x:v>
      </x:c>
      <x:c r="H30" s="32" t="n">
        <x:f>F30/F29-1</x:f>
        <x:v>0.017202144384917073</x:v>
      </x:c>
      <x:c r="I30" s="35" t="n">
        <x:f>AVERAGE(F11:F30)</x:f>
        <x:v>178.74043502807618</x:v>
      </x:c>
      <x:c r="J30" s="35"/>
      <x:c r="K30" s="33" t="n">
        <x:f>IF(COUNT(I30:J30)=2,IF(I30&gt;J30,1,0),0)</x:f>
        <x:v>0</x:v>
      </x:c>
      <x:c r="L30" s="33" t="n">
        <x:f>K29</x:f>
        <x:v>0</x:v>
      </x:c>
      <x:c r="M30" s="36" t="n">
        <x:f>L30*H30-IF(L30&lt;&gt;L29,'Assumptions'!$B$7+'Assumptions'!$B$8,0)</x:f>
        <x:v>0</x:v>
      </x:c>
      <x:c r="N30" s="37" t="n">
        <x:f>N29*(1+M30)</x:f>
        <x:v>1</x:v>
      </x:c>
      <x:c r="O30" s="36" t="n">
        <x:f>H30</x:f>
        <x:v>0.017202144384917073</x:v>
      </x:c>
      <x:c r="P30" s="37" t="n">
        <x:f>P29*(1+O30)</x:f>
        <x:v>1.04166388924568</x:v>
      </x:c>
      <x:c r="Q30" s="34" t="n">
        <x:f>MAX(Q29,N30)</x:f>
        <x:v>1</x:v>
      </x:c>
      <x:c r="R30" s="38" t="n">
        <x:f>N30/Q30-1</x:f>
        <x:v>0</x:v>
      </x:c>
      <x:c r="S30" s="39" t="n">
        <x:f>MAX(S29,P30)</x:f>
        <x:v>1.071920615926349</x:v>
      </x:c>
      <x:c r="T30" s="38" t="n">
        <x:f>P30/S30-1</x:f>
        <x:v>-0.028226648719244296</x:v>
      </x:c>
      <x:c r="U30" s="33" t="n">
        <x:f>IF(AND(L30=1,L29=0),1,0)</x:f>
        <x:v>0</x:v>
      </x:c>
      <x:c r="V30" s="33" t="n">
        <x:f>IF(AND(L30=0,L29=1),1,0)</x:f>
        <x:v>0</x:v>
      </x:c>
      <x:c r="W30" s="33" t="n">
        <x:f>IF(L30=K29,0,1)</x:f>
        <x:v>0</x:v>
      </x:c>
    </x:row>
    <x:row r="31">
      <x:c r="A31" s="29" t="n">
        <x:v>45894.5625</x:v>
      </x:c>
      <x:c r="B31" s="30" t="n">
        <x:v>178.35000610351562</x:v>
      </x:c>
      <x:c r="C31" s="30" t="n">
        <x:v>181.91000366210938</x:v>
      </x:c>
      <x:c r="D31" s="30" t="n">
        <x:v>176.57000732421875</x:v>
      </x:c>
      <x:c r="E31" s="30" t="n">
        <x:v>179.80999755859375</x:v>
      </x:c>
      <x:c r="F31" s="30" t="n">
        <x:v>179.57083129882812</x:v>
      </x:c>
      <x:c r="G31" s="31" t="n">
        <x:v>163012800</x:v>
      </x:c>
      <x:c r="H31" s="32" t="n">
        <x:f>F31/F30-1</x:f>
        <x:v>0.010225218164484184</x:v>
      </x:c>
      <x:c r="I31" s="35" t="n">
        <x:f>AVERAGE(F12:F31)</x:f>
        <x:v>178.89323196411132</x:v>
      </x:c>
      <x:c r="J31" s="35"/>
      <x:c r="K31" s="33" t="n">
        <x:f>IF(COUNT(I31:J31)=2,IF(I31&gt;J31,1,0),0)</x:f>
        <x:v>0</x:v>
      </x:c>
      <x:c r="L31" s="33" t="n">
        <x:f>K30</x:f>
        <x:v>0</x:v>
      </x:c>
      <x:c r="M31" s="36" t="n">
        <x:f>L31*H31-IF(L31&lt;&gt;L30,'Assumptions'!$B$7+'Assumptions'!$B$8,0)</x:f>
        <x:v>0</x:v>
      </x:c>
      <x:c r="N31" s="37" t="n">
        <x:f>N30*(1+M31)</x:f>
        <x:v>1</x:v>
      </x:c>
      <x:c r="O31" s="36" t="n">
        <x:f>H31</x:f>
        <x:v>0.010225218164484184</x:v>
      </x:c>
      <x:c r="P31" s="37" t="n">
        <x:f>P30*(1+O31)</x:f>
        <x:v>1.0523151297672821</x:v>
      </x:c>
      <x:c r="Q31" s="34" t="n">
        <x:f>MAX(Q30,N31)</x:f>
        <x:v>1</x:v>
      </x:c>
      <x:c r="R31" s="38" t="n">
        <x:f>N31/Q31-1</x:f>
        <x:v>0</x:v>
      </x:c>
      <x:c r="S31" s="39" t="n">
        <x:f>MAX(S30,P31)</x:f>
        <x:v>1.071920615926349</x:v>
      </x:c>
      <x:c r="T31" s="38" t="n">
        <x:f>P31/S31-1</x:f>
        <x:v>-0.018290054195966632</x:v>
      </x:c>
      <x:c r="U31" s="33" t="n">
        <x:f>IF(AND(L31=1,L30=0),1,0)</x:f>
        <x:v>0</x:v>
      </x:c>
      <x:c r="V31" s="33" t="n">
        <x:f>IF(AND(L31=0,L30=1),1,0)</x:f>
        <x:v>0</x:v>
      </x:c>
      <x:c r="W31" s="33" t="n">
        <x:f>IF(L31=K30,0,1)</x:f>
        <x:v>0</x:v>
      </x:c>
    </x:row>
    <x:row r="32">
      <x:c r="A32" s="29" t="n">
        <x:v>45895.5625</x:v>
      </x:c>
      <x:c r="B32" s="30" t="n">
        <x:v>180.05999755859375</x:v>
      </x:c>
      <x:c r="C32" s="30" t="n">
        <x:v>182.38999938964844</x:v>
      </x:c>
      <x:c r="D32" s="30" t="n">
        <x:v>178.80999755859375</x:v>
      </x:c>
      <x:c r="E32" s="30" t="n">
        <x:v>181.77000427246094</x:v>
      </x:c>
      <x:c r="F32" s="30" t="n">
        <x:v>181.52822875976562</x:v>
      </x:c>
      <x:c r="G32" s="31" t="n">
        <x:v>168688200</x:v>
      </x:c>
      <x:c r="H32" s="32" t="n">
        <x:f>F32/F31-1</x:f>
        <x:v>0.010900419888796753</x:v>
      </x:c>
      <x:c r="I32" s="35" t="n">
        <x:f>AVERAGE(F13:F32)</x:f>
        <x:v>179.20581665039063</x:v>
      </x:c>
      <x:c r="J32" s="35"/>
      <x:c r="K32" s="33" t="n">
        <x:f>IF(COUNT(I32:J32)=2,IF(I32&gt;J32,1,0),0)</x:f>
        <x:v>0</x:v>
      </x:c>
      <x:c r="L32" s="33" t="n">
        <x:f>K31</x:f>
        <x:v>0</x:v>
      </x:c>
      <x:c r="M32" s="36" t="n">
        <x:f>L32*H32-IF(L32&lt;&gt;L31,'Assumptions'!$B$7+'Assumptions'!$B$8,0)</x:f>
        <x:v>0</x:v>
      </x:c>
      <x:c r="N32" s="37" t="n">
        <x:f>N31*(1+M32)</x:f>
        <x:v>1</x:v>
      </x:c>
      <x:c r="O32" s="36" t="n">
        <x:f>H32</x:f>
        <x:v>0.010900419888796753</x:v>
      </x:c>
      <x:c r="P32" s="37" t="n">
        <x:f>P31*(1+O32)</x:f>
        <x:v>1.063785806537079</x:v>
      </x:c>
      <x:c r="Q32" s="34" t="n">
        <x:f>MAX(Q31,N32)</x:f>
        <x:v>1</x:v>
      </x:c>
      <x:c r="R32" s="38" t="n">
        <x:f>N32/Q32-1</x:f>
        <x:v>0</x:v>
      </x:c>
      <x:c r="S32" s="39" t="n">
        <x:f>MAX(S31,P32)</x:f>
        <x:v>1.071920615926349</x:v>
      </x:c>
      <x:c r="T32" s="38" t="n">
        <x:f>P32/S32-1</x:f>
        <x:v>-0.007589003577694875</x:v>
      </x:c>
      <x:c r="U32" s="33" t="n">
        <x:f>IF(AND(L32=1,L31=0),1,0)</x:f>
        <x:v>0</x:v>
      </x:c>
      <x:c r="V32" s="33" t="n">
        <x:f>IF(AND(L32=0,L31=1),1,0)</x:f>
        <x:v>0</x:v>
      </x:c>
      <x:c r="W32" s="33" t="n">
        <x:f>IF(L32=K31,0,1)</x:f>
        <x:v>0</x:v>
      </x:c>
    </x:row>
    <x:row r="33">
      <x:c r="A33" s="29" t="n">
        <x:v>45896.5625</x:v>
      </x:c>
      <x:c r="B33" s="30" t="n">
        <x:v>181.97999572753906</x:v>
      </x:c>
      <x:c r="C33" s="30" t="n">
        <x:v>182.49000549316406</x:v>
      </x:c>
      <x:c r="D33" s="30" t="n">
        <x:v>179.10000610351562</x:v>
      </x:c>
      <x:c r="E33" s="30" t="n">
        <x:v>181.60000610351562</x:v>
      </x:c>
      <x:c r="F33" s="30" t="n">
        <x:v>181.35845947265625</x:v>
      </x:c>
      <x:c r="G33" s="31" t="n">
        <x:v>235518900</x:v>
      </x:c>
      <x:c r="H33" s="32" t="n">
        <x:f>F33/F32-1</x:f>
        <x:v>-0.0009352225175625062</x:v>
      </x:c>
      <x:c r="I33" s="35" t="n">
        <x:f>AVERAGE(F14:F33)</x:f>
        <x:v>179.32216186523436</x:v>
      </x:c>
      <x:c r="J33" s="35"/>
      <x:c r="K33" s="33" t="n">
        <x:f>IF(COUNT(I33:J33)=2,IF(I33&gt;J33,1,0),0)</x:f>
        <x:v>0</x:v>
      </x:c>
      <x:c r="L33" s="33" t="n">
        <x:f>K32</x:f>
        <x:v>0</x:v>
      </x:c>
      <x:c r="M33" s="36" t="n">
        <x:f>L33*H33-IF(L33&lt;&gt;L32,'Assumptions'!$B$7+'Assumptions'!$B$8,0)</x:f>
        <x:v>0</x:v>
      </x:c>
      <x:c r="N33" s="37" t="n">
        <x:f>N32*(1+M33)</x:f>
        <x:v>1</x:v>
      </x:c>
      <x:c r="O33" s="36" t="n">
        <x:f>H33</x:f>
        <x:v>-0.0009352225175625062</x:v>
      </x:c>
      <x:c r="P33" s="37" t="n">
        <x:f>P32*(1+O33)</x:f>
        <x:v>1.0627909300969423</x:v>
      </x:c>
      <x:c r="Q33" s="34" t="n">
        <x:f>MAX(Q32,N33)</x:f>
        <x:v>1</x:v>
      </x:c>
      <x:c r="R33" s="38" t="n">
        <x:f>N33/Q33-1</x:f>
        <x:v>0</x:v>
      </x:c>
      <x:c r="S33" s="39" t="n">
        <x:f>MAX(S32,P33)</x:f>
        <x:v>1.071920615926349</x:v>
      </x:c>
      <x:c r="T33" s="38" t="n">
        <x:f>P33/S33-1</x:f>
        <x:v>-0.008517128688225628</x:v>
      </x:c>
      <x:c r="U33" s="33" t="n">
        <x:f>IF(AND(L33=1,L32=0),1,0)</x:f>
        <x:v>0</x:v>
      </x:c>
      <x:c r="V33" s="33" t="n">
        <x:f>IF(AND(L33=0,L32=1),1,0)</x:f>
        <x:v>0</x:v>
      </x:c>
      <x:c r="W33" s="33" t="n">
        <x:f>IF(L33=K32,0,1)</x:f>
        <x:v>0</x:v>
      </x:c>
    </x:row>
    <x:row r="34">
      <x:c r="A34" s="29" t="n">
        <x:v>45897.5625</x:v>
      </x:c>
      <x:c r="B34" s="30" t="n">
        <x:v>180.82000732421875</x:v>
      </x:c>
      <x:c r="C34" s="30" t="n">
        <x:v>184.47000122070312</x:v>
      </x:c>
      <x:c r="D34" s="30" t="n">
        <x:v>176.41000366210938</x:v>
      </x:c>
      <x:c r="E34" s="30" t="n">
        <x:v>180.1699981689453</x:v>
      </x:c>
      <x:c r="F34" s="30" t="n">
        <x:v>179.93035888671875</x:v>
      </x:c>
      <x:c r="G34" s="31" t="n">
        <x:v>281787800</x:v>
      </x:c>
      <x:c r="H34" s="32" t="n">
        <x:f>F34/F33-1</x:f>
        <x:v>-0.007874463590449854</x:v>
      </x:c>
      <x:c r="I34" s="35" t="n">
        <x:f>AVERAGE(F15:F34)</x:f>
        <x:v>179.43700942993163</x:v>
      </x:c>
      <x:c r="J34" s="35"/>
      <x:c r="K34" s="33" t="n">
        <x:f>IF(COUNT(I34:J34)=2,IF(I34&gt;J34,1,0),0)</x:f>
        <x:v>0</x:v>
      </x:c>
      <x:c r="L34" s="33" t="n">
        <x:f>K33</x:f>
        <x:v>0</x:v>
      </x:c>
      <x:c r="M34" s="36" t="n">
        <x:f>L34*H34-IF(L34&lt;&gt;L33,'Assumptions'!$B$7+'Assumptions'!$B$8,0)</x:f>
        <x:v>0</x:v>
      </x:c>
      <x:c r="N34" s="37" t="n">
        <x:f>N33*(1+M34)</x:f>
        <x:v>1</x:v>
      </x:c>
      <x:c r="O34" s="36" t="n">
        <x:f>H34</x:f>
        <x:v>-0.007874463590449854</x:v>
      </x:c>
      <x:c r="P34" s="37" t="n">
        <x:f>P33*(1+O34)</x:f>
        <x:v>1.0544220216136335</x:v>
      </x:c>
      <x:c r="Q34" s="34" t="n">
        <x:f>MAX(Q33,N34)</x:f>
        <x:v>1</x:v>
      </x:c>
      <x:c r="R34" s="38" t="n">
        <x:f>N34/Q34-1</x:f>
        <x:v>0</x:v>
      </x:c>
      <x:c r="S34" s="39" t="n">
        <x:f>MAX(S33,P34)</x:f>
        <x:v>1.071920615926349</x:v>
      </x:c>
      <x:c r="T34" s="38" t="n">
        <x:f>P34/S34-1</x:f>
        <x:v>-0.01632452445892485</x:v>
      </x:c>
      <x:c r="U34" s="33" t="n">
        <x:f>IF(AND(L34=1,L33=0),1,0)</x:f>
        <x:v>0</x:v>
      </x:c>
      <x:c r="V34" s="33" t="n">
        <x:f>IF(AND(L34=0,L33=1),1,0)</x:f>
        <x:v>0</x:v>
      </x:c>
      <x:c r="W34" s="33" t="n">
        <x:f>IF(L34=K33,0,1)</x:f>
        <x:v>0</x:v>
      </x:c>
    </x:row>
    <x:row r="35">
      <x:c r="A35" s="29" t="n">
        <x:v>45898.5625</x:v>
      </x:c>
      <x:c r="B35" s="30" t="n">
        <x:v>178.11000061035156</x:v>
      </x:c>
      <x:c r="C35" s="30" t="n">
        <x:v>178.14999389648438</x:v>
      </x:c>
      <x:c r="D35" s="30" t="n">
        <x:v>173.14999389648438</x:v>
      </x:c>
      <x:c r="E35" s="30" t="n">
        <x:v>174.17999267578125</x:v>
      </x:c>
      <x:c r="F35" s="30" t="n">
        <x:v>173.94830322265625</x:v>
      </x:c>
      <x:c r="G35" s="31" t="n">
        <x:v>243257900</x:v>
      </x:c>
      <x:c r="H35" s="32" t="n">
        <x:f>F35/F34-1</x:f>
        <x:v>-0.033246505487318556</x:v>
      </x:c>
      <x:c r="I35" s="35" t="n">
        <x:f>AVERAGE(F16:F35)</x:f>
        <x:v>179.45997772216796</x:v>
      </x:c>
      <x:c r="J35" s="35"/>
      <x:c r="K35" s="33" t="n">
        <x:f>IF(COUNT(I35:J35)=2,IF(I35&gt;J35,1,0),0)</x:f>
        <x:v>0</x:v>
      </x:c>
      <x:c r="L35" s="33" t="n">
        <x:f>K34</x:f>
        <x:v>0</x:v>
      </x:c>
      <x:c r="M35" s="36" t="n">
        <x:f>L35*H35-IF(L35&lt;&gt;L34,'Assumptions'!$B$7+'Assumptions'!$B$8,0)</x:f>
        <x:v>0</x:v>
      </x:c>
      <x:c r="N35" s="37" t="n">
        <x:f>N34*(1+M35)</x:f>
        <x:v>1</x:v>
      </x:c>
      <x:c r="O35" s="36" t="n">
        <x:f>H35</x:f>
        <x:v>-0.033246505487318556</x:v>
      </x:c>
      <x:c r="P35" s="37" t="n">
        <x:f>P34*(1+O35)</x:f>
        <x:v>1.0193661740861064</x:v>
      </x:c>
      <x:c r="Q35" s="34" t="n">
        <x:f>MAX(Q34,N35)</x:f>
        <x:v>1</x:v>
      </x:c>
      <x:c r="R35" s="38" t="n">
        <x:f>N35/Q35-1</x:f>
        <x:v>0</x:v>
      </x:c>
      <x:c r="S35" s="39" t="n">
        <x:f>MAX(S34,P35)</x:f>
        <x:v>1.071920615926349</x:v>
      </x:c>
      <x:c r="T35" s="38" t="n">
        <x:f>P35/S35-1</x:f>
        <x:v>-0.04902829655424179</x:v>
      </x:c>
      <x:c r="U35" s="33" t="n">
        <x:f>IF(AND(L35=1,L34=0),1,0)</x:f>
        <x:v>0</x:v>
      </x:c>
      <x:c r="V35" s="33" t="n">
        <x:f>IF(AND(L35=0,L34=1),1,0)</x:f>
        <x:v>0</x:v>
      </x:c>
      <x:c r="W35" s="33" t="n">
        <x:f>IF(L35=K34,0,1)</x:f>
        <x:v>0</x:v>
      </x:c>
    </x:row>
    <x:row r="36">
      <x:c r="A36" s="29" t="n">
        <x:v>45902.5625</x:v>
      </x:c>
      <x:c r="B36" s="30" t="n">
        <x:v>170</x:v>
      </x:c>
      <x:c r="C36" s="30" t="n">
        <x:v>172.3800048828125</x:v>
      </x:c>
      <x:c r="D36" s="30" t="n">
        <x:v>167.22000122070312</x:v>
      </x:c>
      <x:c r="E36" s="30" t="n">
        <x:v>170.77999877929688</x:v>
      </x:c>
      <x:c r="F36" s="30" t="n">
        <x:v>170.55284118652344</x:v>
      </x:c>
      <x:c r="G36" s="31" t="n">
        <x:v>231164900</x:v>
      </x:c>
      <x:c r="H36" s="32" t="n">
        <x:f>F36/F35-1</x:f>
        <x:v>-0.019519949164359285</x:v>
      </x:c>
      <x:c r="I36" s="35" t="n">
        <x:f>AVERAGE(F17:F36)</x:f>
        <x:v>178.99959030151368</x:v>
      </x:c>
      <x:c r="J36" s="35"/>
      <x:c r="K36" s="33" t="n">
        <x:f>IF(COUNT(I36:J36)=2,IF(I36&gt;J36,1,0),0)</x:f>
        <x:v>0</x:v>
      </x:c>
      <x:c r="L36" s="33" t="n">
        <x:f>K35</x:f>
        <x:v>0</x:v>
      </x:c>
      <x:c r="M36" s="36" t="n">
        <x:f>L36*H36-IF(L36&lt;&gt;L35,'Assumptions'!$B$7+'Assumptions'!$B$8,0)</x:f>
        <x:v>0</x:v>
      </x:c>
      <x:c r="N36" s="37" t="n">
        <x:f>N35*(1+M36)</x:f>
        <x:v>1</x:v>
      </x:c>
      <x:c r="O36" s="36" t="n">
        <x:f>H36</x:f>
        <x:v>-0.019519949164359285</x:v>
      </x:c>
      <x:c r="P36" s="37" t="n">
        <x:f>P35*(1+O36)</x:f>
        <x:v>0.9994681981880782</x:v>
      </x:c>
      <x:c r="Q36" s="34" t="n">
        <x:f>MAX(Q35,N36)</x:f>
        <x:v>1</x:v>
      </x:c>
      <x:c r="R36" s="38" t="n">
        <x:f>N36/Q36-1</x:f>
        <x:v>0</x:v>
      </x:c>
      <x:c r="S36" s="39" t="n">
        <x:f>MAX(S35,P36)</x:f>
        <x:v>1.071920615926349</x:v>
      </x:c>
      <x:c r="T36" s="38" t="n">
        <x:f>P36/S36-1</x:f>
        <x:v>-0.06759121586224714</x:v>
      </x:c>
      <x:c r="U36" s="33" t="n">
        <x:f>IF(AND(L36=1,L35=0),1,0)</x:f>
        <x:v>0</x:v>
      </x:c>
      <x:c r="V36" s="33" t="n">
        <x:f>IF(AND(L36=0,L35=1),1,0)</x:f>
        <x:v>0</x:v>
      </x:c>
      <x:c r="W36" s="33" t="n">
        <x:f>IF(L36=K35,0,1)</x:f>
        <x:v>0</x:v>
      </x:c>
    </x:row>
    <x:row r="37">
      <x:c r="A37" s="29" t="n">
        <x:v>45903.5625</x:v>
      </x:c>
      <x:c r="B37" s="30" t="n">
        <x:v>171.05999755859375</x:v>
      </x:c>
      <x:c r="C37" s="30" t="n">
        <x:v>172.41000366210938</x:v>
      </x:c>
      <x:c r="D37" s="30" t="n">
        <x:v>168.8800048828125</x:v>
      </x:c>
      <x:c r="E37" s="30" t="n">
        <x:v>170.6199951171875</x:v>
      </x:c>
      <x:c r="F37" s="30" t="n">
        <x:v>170.39306640625</x:v>
      </x:c>
      <x:c r="G37" s="31" t="n">
        <x:v>164424900</x:v>
      </x:c>
      <x:c r="H37" s="32" t="n">
        <x:f>F37/F36-1</x:f>
        <x:v>-0.0009368051517751885</x:v>
      </x:c>
      <x:c r="I37" s="35" t="n">
        <x:f>AVERAGE(F18:F37)</x:f>
        <x:v>178.61809921264648</x:v>
      </x:c>
      <x:c r="J37" s="35"/>
      <x:c r="K37" s="33" t="n">
        <x:f>IF(COUNT(I37:J37)=2,IF(I37&gt;J37,1,0),0)</x:f>
        <x:v>0</x:v>
      </x:c>
      <x:c r="L37" s="33" t="n">
        <x:f>K36</x:f>
        <x:v>0</x:v>
      </x:c>
      <x:c r="M37" s="36" t="n">
        <x:f>L37*H37-IF(L37&lt;&gt;L36,'Assumptions'!$B$7+'Assumptions'!$B$8,0)</x:f>
        <x:v>0</x:v>
      </x:c>
      <x:c r="N37" s="37" t="n">
        <x:f>N36*(1+M37)</x:f>
        <x:v>1</x:v>
      </x:c>
      <x:c r="O37" s="36" t="n">
        <x:f>H37</x:f>
        <x:v>-0.0009368051517751885</x:v>
      </x:c>
      <x:c r="P37" s="37" t="n">
        <x:f>P36*(1+O37)</x:f>
        <x:v>0.9985318912309802</x:v>
      </x:c>
      <x:c r="Q37" s="34" t="n">
        <x:f>MAX(Q36,N37)</x:f>
        <x:v>1</x:v>
      </x:c>
      <x:c r="R37" s="38" t="n">
        <x:f>N37/Q37-1</x:f>
        <x:v>0</x:v>
      </x:c>
      <x:c r="S37" s="39" t="n">
        <x:f>MAX(S36,P37)</x:f>
        <x:v>1.071920615926349</x:v>
      </x:c>
      <x:c r="T37" s="38" t="n">
        <x:f>P37/S37-1</x:f>
        <x:v>-0.06846470121478787</x:v>
      </x:c>
      <x:c r="U37" s="33" t="n">
        <x:f>IF(AND(L37=1,L36=0),1,0)</x:f>
        <x:v>0</x:v>
      </x:c>
      <x:c r="V37" s="33" t="n">
        <x:f>IF(AND(L37=0,L36=1),1,0)</x:f>
        <x:v>0</x:v>
      </x:c>
      <x:c r="W37" s="33" t="n">
        <x:f>IF(L37=K36,0,1)</x:f>
        <x:v>0</x:v>
      </x:c>
    </x:row>
    <x:row r="38">
      <x:c r="A38" s="29" t="n">
        <x:v>45904.5625</x:v>
      </x:c>
      <x:c r="B38" s="30" t="n">
        <x:v>170.57000732421875</x:v>
      </x:c>
      <x:c r="C38" s="30" t="n">
        <x:v>171.86000061035156</x:v>
      </x:c>
      <x:c r="D38" s="30" t="n">
        <x:v>169.41000366210938</x:v>
      </x:c>
      <x:c r="E38" s="30" t="n">
        <x:v>171.66000366210938</x:v>
      </x:c>
      <x:c r="F38" s="30" t="n">
        <x:v>171.4316864013672</x:v>
      </x:c>
      <x:c r="G38" s="31" t="n">
        <x:v>141670100</x:v>
      </x:c>
      <x:c r="H38" s="32" t="n">
        <x:f>F38/F37-1</x:f>
        <x:v>0.0060954357886893185</x:v>
      </x:c>
      <x:c r="I38" s="35" t="n">
        <x:f>AVERAGE(F19:F38)</x:f>
        <x:v>178.23061599731446</x:v>
      </x:c>
      <x:c r="J38" s="35"/>
      <x:c r="K38" s="33" t="n">
        <x:f>IF(COUNT(I38:J38)=2,IF(I38&gt;J38,1,0),0)</x:f>
        <x:v>0</x:v>
      </x:c>
      <x:c r="L38" s="33" t="n">
        <x:f>K37</x:f>
        <x:v>0</x:v>
      </x:c>
      <x:c r="M38" s="36" t="n">
        <x:f>L38*H38-IF(L38&lt;&gt;L37,'Assumptions'!$B$7+'Assumptions'!$B$8,0)</x:f>
        <x:v>0</x:v>
      </x:c>
      <x:c r="N38" s="37" t="n">
        <x:f>N37*(1+M38)</x:f>
        <x:v>1</x:v>
      </x:c>
      <x:c r="O38" s="36" t="n">
        <x:f>H38</x:f>
        <x:v>0.0060954357886893185</x:v>
      </x:c>
      <x:c r="P38" s="37" t="n">
        <x:f>P37*(1+O38)</x:f>
        <x:v>1.0046183782569371</x:v>
      </x:c>
      <x:c r="Q38" s="34" t="n">
        <x:f>MAX(Q37,N38)</x:f>
        <x:v>1</x:v>
      </x:c>
      <x:c r="R38" s="38" t="n">
        <x:f>N38/Q38-1</x:f>
        <x:v>0</x:v>
      </x:c>
      <x:c r="S38" s="39" t="n">
        <x:f>MAX(S37,P38)</x:f>
        <x:v>1.071920615926349</x:v>
      </x:c>
      <x:c r="T38" s="38" t="n">
        <x:f>P38/S38-1</x:f>
        <x:v>-0.06278658761614508</x:v>
      </x:c>
      <x:c r="U38" s="33" t="n">
        <x:f>IF(AND(L38=1,L37=0),1,0)</x:f>
        <x:v>0</x:v>
      </x:c>
      <x:c r="V38" s="33" t="n">
        <x:f>IF(AND(L38=0,L37=1),1,0)</x:f>
        <x:v>0</x:v>
      </x:c>
      <x:c r="W38" s="33" t="n">
        <x:f>IF(L38=K37,0,1)</x:f>
        <x:v>0</x:v>
      </x:c>
    </x:row>
    <x:row r="39">
      <x:c r="A39" s="29" t="n">
        <x:v>45905.5625</x:v>
      </x:c>
      <x:c r="B39" s="30" t="n">
        <x:v>168.02999877929688</x:v>
      </x:c>
      <x:c r="C39" s="30" t="n">
        <x:v>169.02999877929688</x:v>
      </x:c>
      <x:c r="D39" s="30" t="n">
        <x:v>164.07000732421875</x:v>
      </x:c>
      <x:c r="E39" s="30" t="n">
        <x:v>167.02000427246094</x:v>
      </x:c>
      <x:c r="F39" s="30" t="n">
        <x:v>166.79786682128906</x:v>
      </x:c>
      <x:c r="G39" s="31" t="n">
        <x:v>224441400</x:v>
      </x:c>
      <x:c r="H39" s="32" t="n">
        <x:f>F39/F38-1</x:f>
        <x:v>-0.027030123061550726</x:v>
      </x:c>
      <x:c r="I39" s="35" t="n">
        <x:f>AVERAGE(F20:F39)</x:f>
        <x:v>177.54403076171874</x:v>
      </x:c>
      <x:c r="J39" s="35"/>
      <x:c r="K39" s="33" t="n">
        <x:f>IF(COUNT(I39:J39)=2,IF(I39&gt;J39,1,0),0)</x:f>
        <x:v>0</x:v>
      </x:c>
      <x:c r="L39" s="33" t="n">
        <x:f>K38</x:f>
        <x:v>0</x:v>
      </x:c>
      <x:c r="M39" s="36" t="n">
        <x:f>L39*H39-IF(L39&lt;&gt;L38,'Assumptions'!$B$7+'Assumptions'!$B$8,0)</x:f>
        <x:v>0</x:v>
      </x:c>
      <x:c r="N39" s="37" t="n">
        <x:f>N38*(1+M39)</x:f>
        <x:v>1</x:v>
      </x:c>
      <x:c r="O39" s="36" t="n">
        <x:f>H39</x:f>
        <x:v>-0.027030123061550726</x:v>
      </x:c>
      <x:c r="P39" s="37" t="n">
        <x:f>P38*(1+O39)</x:f>
        <x:v>0.9774634198627566</x:v>
      </x:c>
      <x:c r="Q39" s="34" t="n">
        <x:f>MAX(Q38,N39)</x:f>
        <x:v>1</x:v>
      </x:c>
      <x:c r="R39" s="38" t="n">
        <x:f>N39/Q39-1</x:f>
        <x:v>0</x:v>
      </x:c>
      <x:c r="S39" s="39" t="n">
        <x:f>MAX(S38,P39)</x:f>
        <x:v>1.071920615926349</x:v>
      </x:c>
      <x:c r="T39" s="38" t="n">
        <x:f>P39/S39-1</x:f>
        <x:v>-0.08811958148781651</x:v>
      </x:c>
      <x:c r="U39" s="33" t="n">
        <x:f>IF(AND(L39=1,L38=0),1,0)</x:f>
        <x:v>0</x:v>
      </x:c>
      <x:c r="V39" s="33" t="n">
        <x:f>IF(AND(L39=0,L38=1),1,0)</x:f>
        <x:v>0</x:v>
      </x:c>
      <x:c r="W39" s="33" t="n">
        <x:f>IF(L39=K38,0,1)</x:f>
        <x:v>0</x:v>
      </x:c>
    </x:row>
    <x:row r="40">
      <x:c r="A40" s="29" t="n">
        <x:v>45908.5625</x:v>
      </x:c>
      <x:c r="B40" s="30" t="n">
        <x:v>167.5500030517578</x:v>
      </x:c>
      <x:c r="C40" s="30" t="n">
        <x:v>170.9600067138672</x:v>
      </x:c>
      <x:c r="D40" s="30" t="n">
        <x:v>167.35000610351562</x:v>
      </x:c>
      <x:c r="E40" s="30" t="n">
        <x:v>168.30999755859375</x:v>
      </x:c>
      <x:c r="F40" s="30" t="n">
        <x:v>168.08612060546875</x:v>
      </x:c>
      <x:c r="G40" s="31" t="n">
        <x:v>163769100</x:v>
      </x:c>
      <x:c r="H40" s="32" t="n">
        <x:f>F40/F39-1</x:f>
        <x:v>0.007723442803737823</x:v>
      </x:c>
      <x:c r="I40" s="35" t="n">
        <x:f>AVERAGE(F21:F40)</x:f>
        <x:v>176.8254867553711</x:v>
      </x:c>
      <x:c r="J40" s="35"/>
      <x:c r="K40" s="33" t="n">
        <x:f>IF(COUNT(I40:J40)=2,IF(I40&gt;J40,1,0),0)</x:f>
        <x:v>0</x:v>
      </x:c>
      <x:c r="L40" s="33" t="n">
        <x:f>K39</x:f>
        <x:v>0</x:v>
      </x:c>
      <x:c r="M40" s="36" t="n">
        <x:f>L40*H40-IF(L40&lt;&gt;L39,'Assumptions'!$B$7+'Assumptions'!$B$8,0)</x:f>
        <x:v>0</x:v>
      </x:c>
      <x:c r="N40" s="37" t="n">
        <x:f>N39*(1+M40)</x:f>
        <x:v>1</x:v>
      </x:c>
      <x:c r="O40" s="36" t="n">
        <x:f>H40</x:f>
        <x:v>0.007723442803737823</x:v>
      </x:c>
      <x:c r="P40" s="37" t="n">
        <x:f>P39*(1+O40)</x:f>
        <x:v>0.9850128026788126</x:v>
      </x:c>
      <x:c r="Q40" s="34" t="n">
        <x:f>MAX(Q39,N40)</x:f>
        <x:v>1</x:v>
      </x:c>
      <x:c r="R40" s="38" t="n">
        <x:f>N40/Q40-1</x:f>
        <x:v>0</x:v>
      </x:c>
      <x:c r="S40" s="39" t="n">
        <x:f>MAX(S39,P40)</x:f>
        <x:v>1.071920615926349</x:v>
      </x:c>
      <x:c r="T40" s="38" t="n">
        <x:f>P40/S40-1</x:f>
        <x:v>-0.08107672523158915</x:v>
      </x:c>
      <x:c r="U40" s="33" t="n">
        <x:f>IF(AND(L40=1,L39=0),1,0)</x:f>
        <x:v>0</x:v>
      </x:c>
      <x:c r="V40" s="33" t="n">
        <x:f>IF(AND(L40=0,L39=1),1,0)</x:f>
        <x:v>0</x:v>
      </x:c>
      <x:c r="W40" s="33" t="n">
        <x:f>IF(L40=K39,0,1)</x:f>
        <x:v>0</x:v>
      </x:c>
    </x:row>
    <x:row r="41">
      <x:c r="A41" s="29" t="n">
        <x:v>45909.5625</x:v>
      </x:c>
      <x:c r="B41" s="30" t="n">
        <x:v>169.08999633789062</x:v>
      </x:c>
      <x:c r="C41" s="30" t="n">
        <x:v>170.97999572753906</x:v>
      </x:c>
      <x:c r="D41" s="30" t="n">
        <x:v>166.74000549316406</x:v>
      </x:c>
      <x:c r="E41" s="30" t="n">
        <x:v>170.75999450683594</x:v>
      </x:c>
      <x:c r="F41" s="30" t="n">
        <x:v>170.53285217285156</x:v>
      </x:c>
      <x:c r="G41" s="31" t="n">
        <x:v>157548400</x:v>
      </x:c>
      <x:c r="H41" s="32" t="n">
        <x:f>F41/F40-1</x:f>
        <x:v>0.014556416428491259</x:v>
      </x:c>
      <x:c r="I41" s="35" t="n">
        <x:f>AVERAGE(F22:F41)</x:f>
        <x:v>176.26123809814453</x:v>
      </x:c>
      <x:c r="J41" s="35"/>
      <x:c r="K41" s="33" t="n">
        <x:f>IF(COUNT(I41:J41)=2,IF(I41&gt;J41,1,0),0)</x:f>
        <x:v>0</x:v>
      </x:c>
      <x:c r="L41" s="33" t="n">
        <x:f>K40</x:f>
        <x:v>0</x:v>
      </x:c>
      <x:c r="M41" s="36" t="n">
        <x:f>L41*H41-IF(L41&lt;&gt;L40,'Assumptions'!$B$7+'Assumptions'!$B$8,0)</x:f>
        <x:v>0</x:v>
      </x:c>
      <x:c r="N41" s="37" t="n">
        <x:f>N40*(1+M41)</x:f>
        <x:v>1</x:v>
      </x:c>
      <x:c r="O41" s="36" t="n">
        <x:f>H41</x:f>
        <x:v>0.014556416428491259</x:v>
      </x:c>
      <x:c r="P41" s="37" t="n">
        <x:f>P40*(1+O41)</x:f>
        <x:v>0.9993510592220007</x:v>
      </x:c>
      <x:c r="Q41" s="34" t="n">
        <x:f>MAX(Q40,N41)</x:f>
        <x:v>1</x:v>
      </x:c>
      <x:c r="R41" s="38" t="n">
        <x:f>N41/Q41-1</x:f>
        <x:v>0</x:v>
      </x:c>
      <x:c r="S41" s="39" t="n">
        <x:f>MAX(S40,P41)</x:f>
        <x:v>1.071920615926349</x:v>
      </x:c>
      <x:c r="T41" s="38" t="n">
        <x:f>P41/S41-1</x:f>
        <x:v>-0.0677004953782272</x:v>
      </x:c>
      <x:c r="U41" s="33" t="n">
        <x:f>IF(AND(L41=1,L40=0),1,0)</x:f>
        <x:v>0</x:v>
      </x:c>
      <x:c r="V41" s="33" t="n">
        <x:f>IF(AND(L41=0,L40=1),1,0)</x:f>
        <x:v>0</x:v>
      </x:c>
      <x:c r="W41" s="33" t="n">
        <x:f>IF(L41=K40,0,1)</x:f>
        <x:v>0</x:v>
      </x:c>
    </x:row>
    <x:row r="42">
      <x:c r="A42" s="29" t="n">
        <x:v>45910.5625</x:v>
      </x:c>
      <x:c r="B42" s="30" t="n">
        <x:v>176.63999938964844</x:v>
      </x:c>
      <x:c r="C42" s="30" t="n">
        <x:v>179.2899932861328</x:v>
      </x:c>
      <x:c r="D42" s="30" t="n">
        <x:v>175.47000122070312</x:v>
      </x:c>
      <x:c r="E42" s="30" t="n">
        <x:v>177.3300018310547</x:v>
      </x:c>
      <x:c r="F42" s="30" t="n">
        <x:v>177.09413146972656</x:v>
      </x:c>
      <x:c r="G42" s="31" t="n">
        <x:v>226852000</x:v>
      </x:c>
      <x:c r="H42" s="32" t="n">
        <x:f>F42/F41-1</x:f>
        <x:v>0.03847516307429433</x:v>
      </x:c>
      <x:c r="I42" s="35" t="n">
        <x:f>AVERAGE(F23:F42)</x:f>
        <x:v>175.970125579834</x:v>
      </x:c>
      <x:c r="J42" s="35"/>
      <x:c r="K42" s="33" t="n">
        <x:f>IF(COUNT(I42:J42)=2,IF(I42&gt;J42,1,0),0)</x:f>
        <x:v>0</x:v>
      </x:c>
      <x:c r="L42" s="33" t="n">
        <x:f>K41</x:f>
        <x:v>0</x:v>
      </x:c>
      <x:c r="M42" s="36" t="n">
        <x:f>L42*H42-IF(L42&lt;&gt;L41,'Assumptions'!$B$7+'Assumptions'!$B$8,0)</x:f>
        <x:v>0</x:v>
      </x:c>
      <x:c r="N42" s="37" t="n">
        <x:f>N41*(1+M42)</x:f>
        <x:v>1</x:v>
      </x:c>
      <x:c r="O42" s="36" t="n">
        <x:f>H42</x:f>
        <x:v>0.03847516307429433</x:v>
      </x:c>
      <x:c r="P42" s="37" t="n">
        <x:f>P41*(1+O42)</x:f>
        <x:v>1.037801254194036</x:v>
      </x:c>
      <x:c r="Q42" s="34" t="n">
        <x:f>MAX(Q41,N42)</x:f>
        <x:v>1</x:v>
      </x:c>
      <x:c r="R42" s="38" t="n">
        <x:f>N42/Q42-1</x:f>
        <x:v>0</x:v>
      </x:c>
      <x:c r="S42" s="39" t="n">
        <x:f>MAX(S41,P42)</x:f>
        <x:v>1.071920615926349</x:v>
      </x:c>
      <x:c r="T42" s="38" t="n">
        <x:f>P42/S42-1</x:f>
        <x:v>-0.031830119903820675</x:v>
      </x:c>
      <x:c r="U42" s="33" t="n">
        <x:f>IF(AND(L42=1,L41=0),1,0)</x:f>
        <x:v>0</x:v>
      </x:c>
      <x:c r="V42" s="33" t="n">
        <x:f>IF(AND(L42=0,L41=1),1,0)</x:f>
        <x:v>0</x:v>
      </x:c>
      <x:c r="W42" s="33" t="n">
        <x:f>IF(L42=K41,0,1)</x:f>
        <x:v>0</x:v>
      </x:c>
    </x:row>
    <x:row r="43">
      <x:c r="A43" s="29" t="n">
        <x:v>45911.5625</x:v>
      </x:c>
      <x:c r="B43" s="30" t="n">
        <x:v>179.67999267578125</x:v>
      </x:c>
      <x:c r="C43" s="30" t="n">
        <x:v>180.27999877929688</x:v>
      </x:c>
      <x:c r="D43" s="30" t="n">
        <x:v>176.47999572753906</x:v>
      </x:c>
      <x:c r="E43" s="30" t="n">
        <x:v>177.1699981689453</x:v>
      </x:c>
      <x:c r="F43" s="30" t="n">
        <x:v>176.9443359375</x:v>
      </x:c>
      <x:c r="G43" s="31" t="n">
        <x:v>151159300</x:v>
      </x:c>
      <x:c r="H43" s="32" t="n">
        <x:f>F43/F42-1</x:f>
        <x:v>-0.0008458526038293002</x:v>
      </x:c>
      <x:c r="I43" s="35" t="n">
        <x:f>AVERAGE(F24:F43)</x:f>
        <x:v>175.74991912841796</x:v>
      </x:c>
      <x:c r="J43" s="35"/>
      <x:c r="K43" s="33" t="n">
        <x:f>IF(COUNT(I43:J43)=2,IF(I43&gt;J43,1,0),0)</x:f>
        <x:v>0</x:v>
      </x:c>
      <x:c r="L43" s="33" t="n">
        <x:f>K42</x:f>
        <x:v>0</x:v>
      </x:c>
      <x:c r="M43" s="36" t="n">
        <x:f>L43*H43-IF(L43&lt;&gt;L42,'Assumptions'!$B$7+'Assumptions'!$B$8,0)</x:f>
        <x:v>0</x:v>
      </x:c>
      <x:c r="N43" s="37" t="n">
        <x:f>N42*(1+M43)</x:f>
        <x:v>1</x:v>
      </x:c>
      <x:c r="O43" s="36" t="n">
        <x:f>H43</x:f>
        <x:v>-0.0008458526038293002</x:v>
      </x:c>
      <x:c r="P43" s="37" t="n">
        <x:f>P42*(1+O43)</x:f>
        <x:v>1.0369234273009187</x:v>
      </x:c>
      <x:c r="Q43" s="34" t="n">
        <x:f>MAX(Q42,N43)</x:f>
        <x:v>1</x:v>
      </x:c>
      <x:c r="R43" s="38" t="n">
        <x:f>N43/Q43-1</x:f>
        <x:v>0</x:v>
      </x:c>
      <x:c r="S43" s="39" t="n">
        <x:f>MAX(S42,P43)</x:f>
        <x:v>1.071920615926349</x:v>
      </x:c>
      <x:c r="T43" s="38" t="n">
        <x:f>P43/S43-1</x:f>
        <x:v>-0.032649048917849144</x:v>
      </x:c>
      <x:c r="U43" s="33" t="n">
        <x:f>IF(AND(L43=1,L42=0),1,0)</x:f>
        <x:v>0</x:v>
      </x:c>
      <x:c r="V43" s="33" t="n">
        <x:f>IF(AND(L43=0,L42=1),1,0)</x:f>
        <x:v>0</x:v>
      </x:c>
      <x:c r="W43" s="33" t="n">
        <x:f>IF(L43=K42,0,1)</x:f>
        <x:v>0</x:v>
      </x:c>
    </x:row>
    <x:row r="44">
      <x:c r="A44" s="29" t="n">
        <x:v>45912.5625</x:v>
      </x:c>
      <x:c r="B44" s="30" t="n">
        <x:v>177.77000427246094</x:v>
      </x:c>
      <x:c r="C44" s="30" t="n">
        <x:v>178.60000610351562</x:v>
      </x:c>
      <x:c r="D44" s="30" t="n">
        <x:v>176.4499969482422</x:v>
      </x:c>
      <x:c r="E44" s="30" t="n">
        <x:v>177.82000732421875</x:v>
      </x:c>
      <x:c r="F44" s="30" t="n">
        <x:v>177.59349060058594</x:v>
      </x:c>
      <x:c r="G44" s="31" t="n">
        <x:v>124911000</x:v>
      </x:c>
      <x:c r="H44" s="32" t="n">
        <x:f>F44/F43-1</x:f>
        <x:v>0.0036686942232229125</x:v>
      </x:c>
      <x:c r="I44" s="35" t="n">
        <x:f>AVERAGE(F25:F44)</x:f>
        <x:v>175.54069976806642</x:v>
      </x:c>
      <x:c r="J44" s="35"/>
      <x:c r="K44" s="33" t="n">
        <x:f>IF(COUNT(I44:J44)=2,IF(I44&gt;J44,1,0),0)</x:f>
        <x:v>0</x:v>
      </x:c>
      <x:c r="L44" s="33" t="n">
        <x:f>K43</x:f>
        <x:v>0</x:v>
      </x:c>
      <x:c r="M44" s="36" t="n">
        <x:f>L44*H44-IF(L44&lt;&gt;L43,'Assumptions'!$B$7+'Assumptions'!$B$8,0)</x:f>
        <x:v>0</x:v>
      </x:c>
      <x:c r="N44" s="37" t="n">
        <x:f>N43*(1+M44)</x:f>
        <x:v>1</x:v>
      </x:c>
      <x:c r="O44" s="36" t="n">
        <x:f>H44</x:f>
        <x:v>0.0036686942232229125</x:v>
      </x:c>
      <x:c r="P44" s="37" t="n">
        <x:f>P43*(1+O44)</x:f>
        <x:v>1.040727582288582</x:v>
      </x:c>
      <x:c r="Q44" s="34" t="n">
        <x:f>MAX(Q43,N44)</x:f>
        <x:v>1</x:v>
      </x:c>
      <x:c r="R44" s="38" t="n">
        <x:f>N44/Q44-1</x:f>
        <x:v>0</x:v>
      </x:c>
      <x:c r="S44" s="39" t="n">
        <x:f>MAX(S43,P44)</x:f>
        <x:v>1.071920615926349</x:v>
      </x:c>
      <x:c r="T44" s="38" t="n">
        <x:f>P44/S44-1</x:f>
        <x:v>-0.02910013407178491</x:v>
      </x:c>
      <x:c r="U44" s="33" t="n">
        <x:f>IF(AND(L44=1,L43=0),1,0)</x:f>
        <x:v>0</x:v>
      </x:c>
      <x:c r="V44" s="33" t="n">
        <x:f>IF(AND(L44=0,L43=1),1,0)</x:f>
        <x:v>0</x:v>
      </x:c>
      <x:c r="W44" s="33" t="n">
        <x:f>IF(L44=K43,0,1)</x:f>
        <x:v>0</x:v>
      </x:c>
    </x:row>
    <x:row r="45">
      <x:c r="A45" s="29" t="n">
        <x:v>45915.5625</x:v>
      </x:c>
      <x:c r="B45" s="30" t="n">
        <x:v>175.6699981689453</x:v>
      </x:c>
      <x:c r="C45" s="30" t="n">
        <x:v>178.85000610351562</x:v>
      </x:c>
      <x:c r="D45" s="30" t="n">
        <x:v>174.50999450683594</x:v>
      </x:c>
      <x:c r="E45" s="30" t="n">
        <x:v>177.75</x:v>
      </x:c>
      <x:c r="F45" s="30" t="n">
        <x:v>177.52359008789062</x:v>
      </x:c>
      <x:c r="G45" s="31" t="n">
        <x:v>147061600</x:v>
      </x:c>
      <x:c r="H45" s="32" t="n">
        <x:f>F45/F44-1</x:f>
        <x:v>-0.0003935983940567267</x:v>
      </x:c>
      <x:c r="I45" s="35" t="n">
        <x:f>AVERAGE(F26:F45)</x:f>
        <x:v>175.4063804626465</x:v>
      </x:c>
      <x:c r="J45" s="35"/>
      <x:c r="K45" s="33" t="n">
        <x:f>IF(COUNT(I45:J45)=2,IF(I45&gt;J45,1,0),0)</x:f>
        <x:v>0</x:v>
      </x:c>
      <x:c r="L45" s="33" t="n">
        <x:f>K44</x:f>
        <x:v>0</x:v>
      </x:c>
      <x:c r="M45" s="36" t="n">
        <x:f>L45*H45-IF(L45&lt;&gt;L44,'Assumptions'!$B$7+'Assumptions'!$B$8,0)</x:f>
        <x:v>0</x:v>
      </x:c>
      <x:c r="N45" s="37" t="n">
        <x:f>N44*(1+M45)</x:f>
        <x:v>1</x:v>
      </x:c>
      <x:c r="O45" s="36" t="n">
        <x:f>H45</x:f>
        <x:v>-0.0003935983940567267</x:v>
      </x:c>
      <x:c r="P45" s="37" t="n">
        <x:f>P44*(1+O45)</x:f>
        <x:v>1.0403179535835427</x:v>
      </x:c>
      <x:c r="Q45" s="34" t="n">
        <x:f>MAX(Q44,N45)</x:f>
        <x:v>1</x:v>
      </x:c>
      <x:c r="R45" s="38" t="n">
        <x:f>N45/Q45-1</x:f>
        <x:v>0</x:v>
      </x:c>
      <x:c r="S45" s="39" t="n">
        <x:f>MAX(S44,P45)</x:f>
        <x:v>1.071920615926349</x:v>
      </x:c>
      <x:c r="T45" s="38" t="n">
        <x:f>P45/S45-1</x:f>
        <x:v>-0.029482278699804132</x:v>
      </x:c>
      <x:c r="U45" s="33" t="n">
        <x:f>IF(AND(L45=1,L44=0),1,0)</x:f>
        <x:v>0</x:v>
      </x:c>
      <x:c r="V45" s="33" t="n">
        <x:f>IF(AND(L45=0,L44=1),1,0)</x:f>
        <x:v>0</x:v>
      </x:c>
      <x:c r="W45" s="33" t="n">
        <x:f>IF(L45=K44,0,1)</x:f>
        <x:v>0</x:v>
      </x:c>
    </x:row>
    <x:row r="46">
      <x:c r="A46" s="29" t="n">
        <x:v>45916.5625</x:v>
      </x:c>
      <x:c r="B46" s="30" t="n">
        <x:v>177</x:v>
      </x:c>
      <x:c r="C46" s="30" t="n">
        <x:v>177.5</x:v>
      </x:c>
      <x:c r="D46" s="30" t="n">
        <x:v>174.3800048828125</x:v>
      </x:c>
      <x:c r="E46" s="30" t="n">
        <x:v>174.8800048828125</x:v>
      </x:c>
      <x:c r="F46" s="30" t="n">
        <x:v>174.65724182128906</x:v>
      </x:c>
      <x:c r="G46" s="31" t="n">
        <x:v>140737800</x:v>
      </x:c>
      <x:c r="H46" s="32" t="n">
        <x:f>F46/F45-1</x:f>
        <x:v>-0.016146295065249894</x:v>
      </x:c>
      <x:c r="I46" s="35" t="n">
        <x:f>AVERAGE(F27:F46)</x:f>
        <x:v>175.05084838867188</x:v>
      </x:c>
      <x:c r="J46" s="35"/>
      <x:c r="K46" s="33" t="n">
        <x:f>IF(COUNT(I46:J46)=2,IF(I46&gt;J46,1,0),0)</x:f>
        <x:v>0</x:v>
      </x:c>
      <x:c r="L46" s="33" t="n">
        <x:f>K45</x:f>
        <x:v>0</x:v>
      </x:c>
      <x:c r="M46" s="36" t="n">
        <x:f>L46*H46-IF(L46&lt;&gt;L45,'Assumptions'!$B$7+'Assumptions'!$B$8,0)</x:f>
        <x:v>0</x:v>
      </x:c>
      <x:c r="N46" s="37" t="n">
        <x:f>N45*(1+M46)</x:f>
        <x:v>1</x:v>
      </x:c>
      <x:c r="O46" s="36" t="n">
        <x:f>H46</x:f>
        <x:v>-0.016146295065249894</x:v>
      </x:c>
      <x:c r="P46" s="37" t="n">
        <x:f>P45*(1+O46)</x:f>
        <x:v>1.023520672943306</x:v>
      </x:c>
      <x:c r="Q46" s="34" t="n">
        <x:f>MAX(Q45,N46)</x:f>
        <x:v>1</x:v>
      </x:c>
      <x:c r="R46" s="38" t="n">
        <x:f>N46/Q46-1</x:f>
        <x:v>0</x:v>
      </x:c>
      <x:c r="S46" s="39" t="n">
        <x:f>MAX(S45,P46)</x:f>
        <x:v>1.071920615926349</x:v>
      </x:c>
      <x:c r="T46" s="38" t="n">
        <x:f>P46/S46-1</x:f>
        <x:v>-0.04515254419397097</x:v>
      </x:c>
      <x:c r="U46" s="33" t="n">
        <x:f>IF(AND(L46=1,L45=0),1,0)</x:f>
        <x:v>0</x:v>
      </x:c>
      <x:c r="V46" s="33" t="n">
        <x:f>IF(AND(L46=0,L45=1),1,0)</x:f>
        <x:v>0</x:v>
      </x:c>
      <x:c r="W46" s="33" t="n">
        <x:f>IF(L46=K45,0,1)</x:f>
        <x:v>0</x:v>
      </x:c>
    </x:row>
    <x:row r="47">
      <x:c r="A47" s="29" t="n">
        <x:v>45917.5625</x:v>
      </x:c>
      <x:c r="B47" s="30" t="n">
        <x:v>172.63999938964844</x:v>
      </x:c>
      <x:c r="C47" s="30" t="n">
        <x:v>173.1999969482422</x:v>
      </x:c>
      <x:c r="D47" s="30" t="n">
        <x:v>168.41000366210938</x:v>
      </x:c>
      <x:c r="E47" s="30" t="n">
        <x:v>170.2899932861328</x:v>
      </x:c>
      <x:c r="F47" s="30" t="n">
        <x:v>170.0730743408203</x:v>
      </x:c>
      <x:c r="G47" s="31" t="n">
        <x:v>211843800</x:v>
      </x:c>
      <x:c r="H47" s="32" t="n">
        <x:f>F47/F46-1</x:f>
        <x:v>-0.026246649910796838</x:v>
      </x:c>
      <x:c r="I47" s="35" t="n">
        <x:f>AVERAGE(F28:F47)</x:f>
        <x:v>174.78418350219727</x:v>
      </x:c>
      <x:c r="J47" s="35"/>
      <x:c r="K47" s="33" t="n">
        <x:f>IF(COUNT(I47:J47)=2,IF(I47&gt;J47,1,0),0)</x:f>
        <x:v>0</x:v>
      </x:c>
      <x:c r="L47" s="33" t="n">
        <x:f>K46</x:f>
        <x:v>0</x:v>
      </x:c>
      <x:c r="M47" s="36" t="n">
        <x:f>L47*H47-IF(L47&lt;&gt;L46,'Assumptions'!$B$7+'Assumptions'!$B$8,0)</x:f>
        <x:v>0</x:v>
      </x:c>
      <x:c r="N47" s="37" t="n">
        <x:f>N46*(1+M47)</x:f>
        <x:v>1</x:v>
      </x:c>
      <x:c r="O47" s="36" t="n">
        <x:f>H47</x:f>
        <x:v>-0.026246649910796838</x:v>
      </x:c>
      <x:c r="P47" s="37" t="n">
        <x:f>P46*(1+O47)</x:f>
        <x:v>0.9966566841640998</x:v>
      </x:c>
      <x:c r="Q47" s="34" t="n">
        <x:f>MAX(Q46,N47)</x:f>
        <x:v>1</x:v>
      </x:c>
      <x:c r="R47" s="38" t="n">
        <x:f>N47/Q47-1</x:f>
        <x:v>0</x:v>
      </x:c>
      <x:c r="S47" s="39" t="n">
        <x:f>MAX(S46,P47)</x:f>
        <x:v>1.071920615926349</x:v>
      </x:c>
      <x:c r="T47" s="38" t="n">
        <x:f>P47/S47-1</x:f>
        <x:v>-0.07021409108472687</x:v>
      </x:c>
      <x:c r="U47" s="33" t="n">
        <x:f>IF(AND(L47=1,L46=0),1,0)</x:f>
        <x:v>0</x:v>
      </x:c>
      <x:c r="V47" s="33" t="n">
        <x:f>IF(AND(L47=0,L46=1),1,0)</x:f>
        <x:v>0</x:v>
      </x:c>
      <x:c r="W47" s="33" t="n">
        <x:f>IF(L47=K46,0,1)</x:f>
        <x:v>0</x:v>
      </x:c>
    </x:row>
    <x:row r="48">
      <x:c r="A48" s="29" t="n">
        <x:v>45918.5625</x:v>
      </x:c>
      <x:c r="B48" s="30" t="n">
        <x:v>173.97999572753906</x:v>
      </x:c>
      <x:c r="C48" s="30" t="n">
        <x:v>177.10000610351562</x:v>
      </x:c>
      <x:c r="D48" s="30" t="n">
        <x:v>172.9600067138672</x:v>
      </x:c>
      <x:c r="E48" s="30" t="n">
        <x:v>176.24000549316406</x:v>
      </x:c>
      <x:c r="F48" s="30" t="n">
        <x:v>176.01551818847656</x:v>
      </x:c>
      <x:c r="G48" s="31" t="n">
        <x:v>191763300</x:v>
      </x:c>
      <x:c r="H48" s="32" t="n">
        <x:f>F48/F47-1</x:f>
        <x:v>0.03494053288969079</x:v>
      </x:c>
      <x:c r="I48" s="35" t="n">
        <x:f>AVERAGE(F29:F48)</x:f>
        <x:v>174.82662506103514</x:v>
      </x:c>
      <x:c r="J48" s="35"/>
      <x:c r="K48" s="33" t="n">
        <x:f>IF(COUNT(I48:J48)=2,IF(I48&gt;J48,1,0),0)</x:f>
        <x:v>0</x:v>
      </x:c>
      <x:c r="L48" s="33" t="n">
        <x:f>K47</x:f>
        <x:v>0</x:v>
      </x:c>
      <x:c r="M48" s="36" t="n">
        <x:f>L48*H48-IF(L48&lt;&gt;L47,'Assumptions'!$B$7+'Assumptions'!$B$8,0)</x:f>
        <x:v>0</x:v>
      </x:c>
      <x:c r="N48" s="37" t="n">
        <x:f>N47*(1+M48)</x:f>
        <x:v>1</x:v>
      </x:c>
      <x:c r="O48" s="36" t="n">
        <x:f>H48</x:f>
        <x:v>0.03494053288969079</x:v>
      </x:c>
      <x:c r="P48" s="37" t="n">
        <x:f>P47*(1+O48)</x:f>
        <x:v>1.0314803998168658</x:v>
      </x:c>
      <x:c r="Q48" s="34" t="n">
        <x:f>MAX(Q47,N48)</x:f>
        <x:v>1</x:v>
      </x:c>
      <x:c r="R48" s="38" t="n">
        <x:f>N48/Q48-1</x:f>
        <x:v>0</x:v>
      </x:c>
      <x:c r="S48" s="39" t="n">
        <x:f>MAX(S47,P48)</x:f>
        <x:v>1.071920615926349</x:v>
      </x:c>
      <x:c r="T48" s="38" t="n">
        <x:f>P48/S48-1</x:f>
        <x:v>-0.03772687595390167</x:v>
      </x:c>
      <x:c r="U48" s="33" t="n">
        <x:f>IF(AND(L48=1,L47=0),1,0)</x:f>
        <x:v>0</x:v>
      </x:c>
      <x:c r="V48" s="33" t="n">
        <x:f>IF(AND(L48=0,L47=1),1,0)</x:f>
        <x:v>0</x:v>
      </x:c>
      <x:c r="W48" s="33" t="n">
        <x:f>IF(L48=K47,0,1)</x:f>
        <x:v>0</x:v>
      </x:c>
    </x:row>
    <x:row r="49">
      <x:c r="A49" s="29" t="n">
        <x:v>45919.5625</x:v>
      </x:c>
      <x:c r="B49" s="30" t="n">
        <x:v>175.77000427246094</x:v>
      </x:c>
      <x:c r="C49" s="30" t="n">
        <x:v>178.0800018310547</x:v>
      </x:c>
      <x:c r="D49" s="30" t="n">
        <x:v>175.17999267578125</x:v>
      </x:c>
      <x:c r="E49" s="30" t="n">
        <x:v>176.6699981689453</x:v>
      </x:c>
      <x:c r="F49" s="30" t="n">
        <x:v>176.4449462890625</x:v>
      </x:c>
      <x:c r="G49" s="31" t="n">
        <x:v>237182100</x:v>
      </x:c>
      <x:c r="H49" s="32" t="n">
        <x:f>F49/F48-1</x:f>
        <x:v>0.0024397172760990404</x:v>
      </x:c>
      <x:c r="I49" s="35" t="n">
        <x:f>AVERAGE(F30:F49)</x:f>
        <x:v>174.9115104675293</x:v>
      </x:c>
      <x:c r="J49" s="35"/>
      <x:c r="K49" s="33" t="n">
        <x:f>IF(COUNT(I49:J49)=2,IF(I49&gt;J49,1,0),0)</x:f>
        <x:v>0</x:v>
      </x:c>
      <x:c r="L49" s="33" t="n">
        <x:f>K48</x:f>
        <x:v>0</x:v>
      </x:c>
      <x:c r="M49" s="36" t="n">
        <x:f>L49*H49-IF(L49&lt;&gt;L48,'Assumptions'!$B$7+'Assumptions'!$B$8,0)</x:f>
        <x:v>0</x:v>
      </x:c>
      <x:c r="N49" s="37" t="n">
        <x:f>N48*(1+M49)</x:f>
        <x:v>1</x:v>
      </x:c>
      <x:c r="O49" s="36" t="n">
        <x:f>H49</x:f>
        <x:v>0.0024397172760990404</x:v>
      </x:c>
      <x:c r="P49" s="37" t="n">
        <x:f>P48*(1+O49)</x:f>
        <x:v>1.0339969203682566</x:v>
      </x:c>
      <x:c r="Q49" s="34" t="n">
        <x:f>MAX(Q48,N49)</x:f>
        <x:v>1</x:v>
      </x:c>
      <x:c r="R49" s="38" t="n">
        <x:f>N49/Q49-1</x:f>
        <x:v>0</x:v>
      </x:c>
      <x:c r="S49" s="39" t="n">
        <x:f>MAX(S48,P49)</x:f>
        <x:v>1.071920615926349</x:v>
      </x:c>
      <x:c r="T49" s="38" t="n">
        <x:f>P49/S49-1</x:f>
        <x:v>-0.03537920158884056</x:v>
      </x:c>
      <x:c r="U49" s="33" t="n">
        <x:f>IF(AND(L49=1,L48=0),1,0)</x:f>
        <x:v>0</x:v>
      </x:c>
      <x:c r="V49" s="33" t="n">
        <x:f>IF(AND(L49=0,L48=1),1,0)</x:f>
        <x:v>0</x:v>
      </x:c>
      <x:c r="W49" s="33" t="n">
        <x:f>IF(L49=K48,0,1)</x:f>
        <x:v>0</x:v>
      </x:c>
    </x:row>
    <x:row r="50">
      <x:c r="A50" s="29" t="n">
        <x:v>45922.5625</x:v>
      </x:c>
      <x:c r="B50" s="30" t="n">
        <x:v>175.3000030517578</x:v>
      </x:c>
      <x:c r="C50" s="30" t="n">
        <x:v>184.5500030517578</x:v>
      </x:c>
      <x:c r="D50" s="30" t="n">
        <x:v>174.7100067138672</x:v>
      </x:c>
      <x:c r="E50" s="30" t="n">
        <x:v>183.61000061035156</x:v>
      </x:c>
      <x:c r="F50" s="30" t="n">
        <x:v>183.37611389160156</x:v>
      </x:c>
      <x:c r="G50" s="31" t="n">
        <x:v>269637000</x:v>
      </x:c>
      <x:c r="H50" s="32" t="n">
        <x:f>F50/F49-1</x:f>
        <x:v>0.03928232430745848</x:v>
      </x:c>
      <x:c r="I50" s="35" t="n">
        <x:f>AVERAGE(F31:F50)</x:f>
        <x:v>175.1926528930664</x:v>
      </x:c>
      <x:c r="J50" s="35"/>
      <x:c r="K50" s="33" t="n">
        <x:f>IF(COUNT(I50:J50)=2,IF(I50&gt;J50,1,0),0)</x:f>
        <x:v>0</x:v>
      </x:c>
      <x:c r="L50" s="33" t="n">
        <x:f>K49</x:f>
        <x:v>0</x:v>
      </x:c>
      <x:c r="M50" s="36" t="n">
        <x:f>L50*H50-IF(L50&lt;&gt;L49,'Assumptions'!$B$7+'Assumptions'!$B$8,0)</x:f>
        <x:v>0</x:v>
      </x:c>
      <x:c r="N50" s="37" t="n">
        <x:f>N49*(1+M50)</x:f>
        <x:v>1</x:v>
      </x:c>
      <x:c r="O50" s="36" t="n">
        <x:f>H50</x:f>
        <x:v>0.03928232430745848</x:v>
      </x:c>
      <x:c r="P50" s="37" t="n">
        <x:f>P49*(1+O50)</x:f>
        <x:v>1.074614722727076</x:v>
      </x:c>
      <x:c r="Q50" s="34" t="n">
        <x:f>MAX(Q49,N50)</x:f>
        <x:v>1</x:v>
      </x:c>
      <x:c r="R50" s="38" t="n">
        <x:f>N50/Q50-1</x:f>
        <x:v>0</x:v>
      </x:c>
      <x:c r="S50" s="39" t="n">
        <x:f>MAX(S49,P50)</x:f>
        <x:v>1.074614722727076</x:v>
      </x:c>
      <x:c r="T50" s="38" t="n">
        <x:f>P50/S50-1</x:f>
        <x:v>0</x:v>
      </x:c>
      <x:c r="U50" s="33" t="n">
        <x:f>IF(AND(L50=1,L49=0),1,0)</x:f>
        <x:v>0</x:v>
      </x:c>
      <x:c r="V50" s="33" t="n">
        <x:f>IF(AND(L50=0,L49=1),1,0)</x:f>
        <x:v>0</x:v>
      </x:c>
      <x:c r="W50" s="33" t="n">
        <x:f>IF(L50=K49,0,1)</x:f>
        <x:v>0</x:v>
      </x:c>
    </x:row>
    <x:row r="51">
      <x:c r="A51" s="29" t="n">
        <x:v>45923.5625</x:v>
      </x:c>
      <x:c r="B51" s="30" t="n">
        <x:v>181.97000122070312</x:v>
      </x:c>
      <x:c r="C51" s="30" t="n">
        <x:v>182.4199981689453</x:v>
      </x:c>
      <x:c r="D51" s="30" t="n">
        <x:v>176.2100067138672</x:v>
      </x:c>
      <x:c r="E51" s="30" t="n">
        <x:v>178.42999267578125</x:v>
      </x:c>
      <x:c r="F51" s="30" t="n">
        <x:v>178.2027130126953</x:v>
      </x:c>
      <x:c r="G51" s="31" t="n">
        <x:v>192559600</x:v>
      </x:c>
      <x:c r="H51" s="32" t="n">
        <x:f>F51/F50-1</x:f>
        <x:v>-0.028211967028401452</x:v>
      </x:c>
      <x:c r="I51" s="35" t="n">
        <x:f>AVERAGE(F32:F51)</x:f>
        <x:v>175.12424697875977</x:v>
      </x:c>
      <x:c r="J51" s="35" t="n">
        <x:f>AVERAGE(F2:F51)</x:f>
        <x:v>175.97441864013672</x:v>
      </x:c>
      <x:c r="K51" s="33" t="n">
        <x:f>IF(COUNT(I51:J51)=2,IF(I51&gt;J51,1,0),0)</x:f>
        <x:v>0</x:v>
      </x:c>
      <x:c r="L51" s="33" t="n">
        <x:f>K50</x:f>
        <x:v>0</x:v>
      </x:c>
      <x:c r="M51" s="36" t="n">
        <x:f>L51*H51-IF(L51&lt;&gt;L50,'Assumptions'!$B$7+'Assumptions'!$B$8,0)</x:f>
        <x:v>0</x:v>
      </x:c>
      <x:c r="N51" s="37" t="n">
        <x:f>N50*(1+M51)</x:f>
        <x:v>1</x:v>
      </x:c>
      <x:c r="O51" s="36" t="n">
        <x:f>H51</x:f>
        <x:v>-0.028211967028401452</x:v>
      </x:c>
      <x:c r="P51" s="37" t="n">
        <x:f>P50*(1+O51)</x:f>
        <x:v>1.0442977276012648</x:v>
      </x:c>
      <x:c r="Q51" s="34" t="n">
        <x:f>MAX(Q50,N51)</x:f>
        <x:v>1</x:v>
      </x:c>
      <x:c r="R51" s="38" t="n">
        <x:f>N51/Q51-1</x:f>
        <x:v>0</x:v>
      </x:c>
      <x:c r="S51" s="39" t="n">
        <x:f>MAX(S50,P51)</x:f>
        <x:v>1.074614722727076</x:v>
      </x:c>
      <x:c r="T51" s="38" t="n">
        <x:f>P51/S51-1</x:f>
        <x:v>-0.028211967028401563</x:v>
      </x:c>
      <x:c r="U51" s="33" t="n">
        <x:f>IF(AND(L51=1,L50=0),1,0)</x:f>
        <x:v>0</x:v>
      </x:c>
      <x:c r="V51" s="33" t="n">
        <x:f>IF(AND(L51=0,L50=1),1,0)</x:f>
        <x:v>0</x:v>
      </x:c>
      <x:c r="W51" s="33" t="n">
        <x:f>IF(L51=K50,0,1)</x:f>
        <x:v>0</x:v>
      </x:c>
    </x:row>
    <x:row r="52">
      <x:c r="A52" s="29" t="n">
        <x:v>45924.5625</x:v>
      </x:c>
      <x:c r="B52" s="30" t="n">
        <x:v>179.77000427246094</x:v>
      </x:c>
      <x:c r="C52" s="30" t="n">
        <x:v>179.77999877929688</x:v>
      </x:c>
      <x:c r="D52" s="30" t="n">
        <x:v>175.39999389648438</x:v>
      </x:c>
      <x:c r="E52" s="30" t="n">
        <x:v>176.97000122070312</x:v>
      </x:c>
      <x:c r="F52" s="30" t="n">
        <x:v>176.74456787109375</x:v>
      </x:c>
      <x:c r="G52" s="31" t="n">
        <x:v>143564100</x:v>
      </x:c>
      <x:c r="H52" s="32" t="n">
        <x:f>F52/F51-1</x:f>
        <x:v>-0.008182508094013552</x:v>
      </x:c>
      <x:c r="I52" s="35" t="n">
        <x:f>AVERAGE(F33:F52)</x:f>
        <x:v>174.88506393432618</x:v>
      </x:c>
      <x:c r="J52" s="35" t="n">
        <x:f>AVERAGE(F3:F52)</x:f>
        <x:v>176.09985107421875</x:v>
      </x:c>
      <x:c r="K52" s="33" t="n">
        <x:f>IF(COUNT(I52:J52)=2,IF(I52&gt;J52,1,0),0)</x:f>
        <x:v>0</x:v>
      </x:c>
      <x:c r="L52" s="33" t="n">
        <x:f>K51</x:f>
        <x:v>0</x:v>
      </x:c>
      <x:c r="M52" s="36" t="n">
        <x:f>L52*H52-IF(L52&lt;&gt;L51,'Assumptions'!$B$7+'Assumptions'!$B$8,0)</x:f>
        <x:v>0</x:v>
      </x:c>
      <x:c r="N52" s="37" t="n">
        <x:f>N51*(1+M52)</x:f>
        <x:v>1</x:v>
      </x:c>
      <x:c r="O52" s="36" t="n">
        <x:f>H52</x:f>
        <x:v>-0.008182508094013552</x:v>
      </x:c>
      <x:c r="P52" s="37" t="n">
        <x:f>P51*(1+O52)</x:f>
        <x:v>1.0357527529926076</x:v>
      </x:c>
      <x:c r="Q52" s="34" t="n">
        <x:f>MAX(Q51,N52)</x:f>
        <x:v>1</x:v>
      </x:c>
      <x:c r="R52" s="38" t="n">
        <x:f>N52/Q52-1</x:f>
        <x:v>0</x:v>
      </x:c>
      <x:c r="S52" s="39" t="n">
        <x:f>MAX(S51,P52)</x:f>
        <x:v>1.074614722727076</x:v>
      </x:c>
      <x:c r="T52" s="38" t="n">
        <x:f>P52/S52-1</x:f>
        <x:v>-0.03616363047385707</x:v>
      </x:c>
      <x:c r="U52" s="33" t="n">
        <x:f>IF(AND(L52=1,L51=0),1,0)</x:f>
        <x:v>0</x:v>
      </x:c>
      <x:c r="V52" s="33" t="n">
        <x:f>IF(AND(L52=0,L51=1),1,0)</x:f>
        <x:v>0</x:v>
      </x:c>
      <x:c r="W52" s="33" t="n">
        <x:f>IF(L52=K51,0,1)</x:f>
        <x:v>0</x:v>
      </x:c>
    </x:row>
    <x:row r="53">
      <x:c r="A53" s="29" t="n">
        <x:v>45925.5625</x:v>
      </x:c>
      <x:c r="B53" s="30" t="n">
        <x:v>174.47999572753906</x:v>
      </x:c>
      <x:c r="C53" s="30" t="n">
        <x:v>180.25999450683594</x:v>
      </x:c>
      <x:c r="D53" s="30" t="n">
        <x:v>173.1300048828125</x:v>
      </x:c>
      <x:c r="E53" s="30" t="n">
        <x:v>177.69000244140625</x:v>
      </x:c>
      <x:c r="F53" s="30" t="n">
        <x:v>177.4636688232422</x:v>
      </x:c>
      <x:c r="G53" s="31" t="n">
        <x:v>191586700</x:v>
      </x:c>
      <x:c r="H53" s="32" t="n">
        <x:f>F53/F52-1</x:f>
        <x:v>0.004068588702951903</x:v>
      </x:c>
      <x:c r="I53" s="35" t="n">
        <x:f>AVERAGE(F34:F53)</x:f>
        <x:v>174.69032440185546</x:v>
      </x:c>
      <x:c r="J53" s="35" t="n">
        <x:f>AVERAGE(F4:F53)</x:f>
        <x:v>176.22628326416014</x:v>
      </x:c>
      <x:c r="K53" s="33" t="n">
        <x:f>IF(COUNT(I53:J53)=2,IF(I53&gt;J53,1,0),0)</x:f>
        <x:v>0</x:v>
      </x:c>
      <x:c r="L53" s="33" t="n">
        <x:f>K52</x:f>
        <x:v>0</x:v>
      </x:c>
      <x:c r="M53" s="36" t="n">
        <x:f>L53*H53-IF(L53&lt;&gt;L52,'Assumptions'!$B$7+'Assumptions'!$B$8,0)</x:f>
        <x:v>0</x:v>
      </x:c>
      <x:c r="N53" s="37" t="n">
        <x:f>N52*(1+M53)</x:f>
        <x:v>1</x:v>
      </x:c>
      <x:c r="O53" s="36" t="n">
        <x:f>H53</x:f>
        <x:v>0.004068588702951903</x:v>
      </x:c>
      <x:c r="P53" s="37" t="n">
        <x:f>P52*(1+O53)</x:f>
        <x:v>1.0399668049424846</x:v>
      </x:c>
      <x:c r="Q53" s="34" t="n">
        <x:f>MAX(Q52,N53)</x:f>
        <x:v>1</x:v>
      </x:c>
      <x:c r="R53" s="38" t="n">
        <x:f>N53/Q53-1</x:f>
        <x:v>0</x:v>
      </x:c>
      <x:c r="S53" s="39" t="n">
        <x:f>MAX(S52,P53)</x:f>
        <x:v>1.074614722727076</x:v>
      </x:c>
      <x:c r="T53" s="38" t="n">
        <x:f>P53/S53-1</x:f>
        <x:v>-0.032242176709308845</x:v>
      </x:c>
      <x:c r="U53" s="33" t="n">
        <x:f>IF(AND(L53=1,L52=0),1,0)</x:f>
        <x:v>0</x:v>
      </x:c>
      <x:c r="V53" s="33" t="n">
        <x:f>IF(AND(L53=0,L52=1),1,0)</x:f>
        <x:v>0</x:v>
      </x:c>
      <x:c r="W53" s="33" t="n">
        <x:f>IF(L53=K52,0,1)</x:f>
        <x:v>0</x:v>
      </x:c>
    </x:row>
    <x:row r="54">
      <x:c r="A54" s="29" t="n">
        <x:v>45926.5625</x:v>
      </x:c>
      <x:c r="B54" s="30" t="n">
        <x:v>178.1699981689453</x:v>
      </x:c>
      <x:c r="C54" s="30" t="n">
        <x:v>179.77000427246094</x:v>
      </x:c>
      <x:c r="D54" s="30" t="n">
        <x:v>174.92999267578125</x:v>
      </x:c>
      <x:c r="E54" s="30" t="n">
        <x:v>178.19000244140625</x:v>
      </x:c>
      <x:c r="F54" s="30" t="n">
        <x:v>177.96302795410156</x:v>
      </x:c>
      <x:c r="G54" s="31" t="n">
        <x:v>148573700</x:v>
      </x:c>
      <x:c r="H54" s="32" t="n">
        <x:f>F54/F53-1</x:f>
        <x:v>0.0028138668279011902</x:v>
      </x:c>
      <x:c r="I54" s="35" t="n">
        <x:f>AVERAGE(F35:F54)</x:f>
        <x:v>174.59195785522462</x:v>
      </x:c>
      <x:c r="J54" s="35" t="n">
        <x:f>AVERAGE(F5:F54)</x:f>
        <x:v>176.33014587402343</x:v>
      </x:c>
      <x:c r="K54" s="33" t="n">
        <x:f>IF(COUNT(I54:J54)=2,IF(I54&gt;J54,1,0),0)</x:f>
        <x:v>0</x:v>
      </x:c>
      <x:c r="L54" s="33" t="n">
        <x:f>K53</x:f>
        <x:v>0</x:v>
      </x:c>
      <x:c r="M54" s="36" t="n">
        <x:f>L54*H54-IF(L54&lt;&gt;L53,'Assumptions'!$B$7+'Assumptions'!$B$8,0)</x:f>
        <x:v>0</x:v>
      </x:c>
      <x:c r="N54" s="37" t="n">
        <x:f>N53*(1+M54)</x:f>
        <x:v>1</x:v>
      </x:c>
      <x:c r="O54" s="36" t="n">
        <x:f>H54</x:f>
        <x:v>0.0028138668279011902</x:v>
      </x:c>
      <x:c r="P54" s="37" t="n">
        <x:f>P53*(1+O54)</x:f>
        <x:v>1.0428931330370306</x:v>
      </x:c>
      <x:c r="Q54" s="34" t="n">
        <x:f>MAX(Q53,N54)</x:f>
        <x:v>1</x:v>
      </x:c>
      <x:c r="R54" s="38" t="n">
        <x:f>N54/Q54-1</x:f>
        <x:v>0</x:v>
      </x:c>
      <x:c r="S54" s="39" t="n">
        <x:f>MAX(S53,P54)</x:f>
        <x:v>1.074614722727076</x:v>
      </x:c>
      <x:c r="T54" s="38" t="n">
        <x:f>P54/S54-1</x:f>
        <x:v>-0.029519035072909428</x:v>
      </x:c>
      <x:c r="U54" s="33" t="n">
        <x:f>IF(AND(L54=1,L53=0),1,0)</x:f>
        <x:v>0</x:v>
      </x:c>
      <x:c r="V54" s="33" t="n">
        <x:f>IF(AND(L54=0,L53=1),1,0)</x:f>
        <x:v>0</x:v>
      </x:c>
      <x:c r="W54" s="33" t="n">
        <x:f>IF(L54=K53,0,1)</x:f>
        <x:v>0</x:v>
      </x:c>
    </x:row>
    <x:row r="55">
      <x:c r="A55" s="29" t="n">
        <x:v>45929.5625</x:v>
      </x:c>
      <x:c r="B55" s="30" t="n">
        <x:v>180.42999267578125</x:v>
      </x:c>
      <x:c r="C55" s="30" t="n">
        <x:v>184</x:v>
      </x:c>
      <x:c r="D55" s="30" t="n">
        <x:v>180.32000732421875</x:v>
      </x:c>
      <x:c r="E55" s="30" t="n">
        <x:v>181.85000610351562</x:v>
      </x:c>
      <x:c r="F55" s="30" t="n">
        <x:v>181.61837768554688</x:v>
      </x:c>
      <x:c r="G55" s="31" t="n">
        <x:v>193063500</x:v>
      </x:c>
      <x:c r="H55" s="32" t="n">
        <x:f>F55/F54-1</x:f>
        <x:v>0.02053993896073769</x:v>
      </x:c>
      <x:c r="I55" s="35" t="n">
        <x:f>AVERAGE(F36:F55)</x:f>
        <x:v>174.97546157836913</x:v>
      </x:c>
      <x:c r="J55" s="35" t="n">
        <x:f>AVERAGE(F6:F55)</x:f>
        <x:v>176.51889984130858</x:v>
      </x:c>
      <x:c r="K55" s="33" t="n">
        <x:f>IF(COUNT(I55:J55)=2,IF(I55&gt;J55,1,0),0)</x:f>
        <x:v>0</x:v>
      </x:c>
      <x:c r="L55" s="33" t="n">
        <x:f>K54</x:f>
        <x:v>0</x:v>
      </x:c>
      <x:c r="M55" s="36" t="n">
        <x:f>L55*H55-IF(L55&lt;&gt;L54,'Assumptions'!$B$7+'Assumptions'!$B$8,0)</x:f>
        <x:v>0</x:v>
      </x:c>
      <x:c r="N55" s="37" t="n">
        <x:f>N54*(1+M55)</x:f>
        <x:v>1</x:v>
      </x:c>
      <x:c r="O55" s="36" t="n">
        <x:f>H55</x:f>
        <x:v>0.02053993896073769</x:v>
      </x:c>
      <x:c r="P55" s="37" t="n">
        <x:f>P54*(1+O55)</x:f>
        <x:v>1.0643140943321836</x:v>
      </x:c>
      <x:c r="Q55" s="34" t="n">
        <x:f>MAX(Q54,N55)</x:f>
        <x:v>1</x:v>
      </x:c>
      <x:c r="R55" s="38" t="n">
        <x:f>N55/Q55-1</x:f>
        <x:v>0</x:v>
      </x:c>
      <x:c r="S55" s="39" t="n">
        <x:f>MAX(S54,P55)</x:f>
        <x:v>1.074614722727076</x:v>
      </x:c>
      <x:c r="T55" s="38" t="n">
        <x:f>P55/S55-1</x:f>
        <x:v>-0.009585415290749189</x:v>
      </x:c>
      <x:c r="U55" s="33" t="n">
        <x:f>IF(AND(L55=1,L54=0),1,0)</x:f>
        <x:v>0</x:v>
      </x:c>
      <x:c r="V55" s="33" t="n">
        <x:f>IF(AND(L55=0,L54=1),1,0)</x:f>
        <x:v>0</x:v>
      </x:c>
      <x:c r="W55" s="33" t="n">
        <x:f>IF(L55=K54,0,1)</x:f>
        <x:v>0</x:v>
      </x:c>
    </x:row>
    <x:row r="56">
      <x:c r="A56" s="29" t="n">
        <x:v>45930.5625</x:v>
      </x:c>
      <x:c r="B56" s="30" t="n">
        <x:v>182.0800018310547</x:v>
      </x:c>
      <x:c r="C56" s="30" t="n">
        <x:v>187.35000610351562</x:v>
      </x:c>
      <x:c r="D56" s="30" t="n">
        <x:v>181.47999572753906</x:v>
      </x:c>
      <x:c r="E56" s="30" t="n">
        <x:v>186.5800018310547</x:v>
      </x:c>
      <x:c r="F56" s="30" t="n">
        <x:v>186.3423309326172</x:v>
      </x:c>
      <x:c r="G56" s="31" t="n">
        <x:v>236981000</x:v>
      </x:c>
      <x:c r="H56" s="32" t="n">
        <x:f>F56/F55-1</x:f>
        <x:v>0.026010326197546618</x:v>
      </x:c>
      <x:c r="I56" s="35" t="n">
        <x:f>AVERAGE(F37:F56)</x:f>
        <x:v>175.76493606567382</x:v>
      </x:c>
      <x:c r="J56" s="35" t="n">
        <x:f>AVERAGE(F7:F56)</x:f>
        <x:v>176.8227053833008</x:v>
      </x:c>
      <x:c r="K56" s="33" t="n">
        <x:f>IF(COUNT(I56:J56)=2,IF(I56&gt;J56,1,0),0)</x:f>
        <x:v>0</x:v>
      </x:c>
      <x:c r="L56" s="33" t="n">
        <x:f>K55</x:f>
        <x:v>0</x:v>
      </x:c>
      <x:c r="M56" s="36" t="n">
        <x:f>L56*H56-IF(L56&lt;&gt;L55,'Assumptions'!$B$7+'Assumptions'!$B$8,0)</x:f>
        <x:v>0</x:v>
      </x:c>
      <x:c r="N56" s="37" t="n">
        <x:f>N55*(1+M56)</x:f>
        <x:v>1</x:v>
      </x:c>
      <x:c r="O56" s="36" t="n">
        <x:f>H56</x:f>
        <x:v>0.026010326197546618</x:v>
      </x:c>
      <x:c r="P56" s="37" t="n">
        <x:f>P55*(1+O56)</x:f>
        <x:v>1.09199725110241</x:v>
      </x:c>
      <x:c r="Q56" s="34" t="n">
        <x:f>MAX(Q55,N56)</x:f>
        <x:v>1</x:v>
      </x:c>
      <x:c r="R56" s="38" t="n">
        <x:f>N56/Q56-1</x:f>
        <x:v>0</x:v>
      </x:c>
      <x:c r="S56" s="39" t="n">
        <x:f>MAX(S55,P56)</x:f>
        <x:v>1.09199725110241</x:v>
      </x:c>
      <x:c r="T56" s="38" t="n">
        <x:f>P56/S56-1</x:f>
        <x:v>0</x:v>
      </x:c>
      <x:c r="U56" s="33" t="n">
        <x:f>IF(AND(L56=1,L55=0),1,0)</x:f>
        <x:v>0</x:v>
      </x:c>
      <x:c r="V56" s="33" t="n">
        <x:f>IF(AND(L56=0,L55=1),1,0)</x:f>
        <x:v>0</x:v>
      </x:c>
      <x:c r="W56" s="33" t="n">
        <x:f>IF(L56=K55,0,1)</x:f>
        <x:v>0</x:v>
      </x:c>
    </x:row>
    <x:row r="57">
      <x:c r="A57" s="29" t="n">
        <x:v>45931.5625</x:v>
      </x:c>
      <x:c r="B57" s="30" t="n">
        <x:v>185.24000549316406</x:v>
      </x:c>
      <x:c r="C57" s="30" t="n">
        <x:v>188.13999938964844</x:v>
      </x:c>
      <x:c r="D57" s="30" t="n">
        <x:v>183.89999389648438</x:v>
      </x:c>
      <x:c r="E57" s="30" t="n">
        <x:v>187.24000549316406</x:v>
      </x:c>
      <x:c r="F57" s="30" t="n">
        <x:v>187.00149536132812</x:v>
      </x:c>
      <x:c r="G57" s="31" t="n">
        <x:v>173844900</x:v>
      </x:c>
      <x:c r="H57" s="32" t="n">
        <x:f>F57/F56-1</x:f>
        <x:v>0.0035373842616002182</x:v>
      </x:c>
      <x:c r="I57" s="35" t="n">
        <x:f>AVERAGE(F38:F57)</x:f>
        <x:v>176.59535751342773</x:v>
      </x:c>
      <x:c r="J57" s="35" t="n">
        <x:f>AVERAGE(F8:F57)</x:f>
        <x:v>177.2265783691406</x:v>
      </x:c>
      <x:c r="K57" s="33" t="n">
        <x:f>IF(COUNT(I57:J57)=2,IF(I57&gt;J57,1,0),0)</x:f>
        <x:v>0</x:v>
      </x:c>
      <x:c r="L57" s="33" t="n">
        <x:f>K56</x:f>
        <x:v>0</x:v>
      </x:c>
      <x:c r="M57" s="36" t="n">
        <x:f>L57*H57-IF(L57&lt;&gt;L56,'Assumptions'!$B$7+'Assumptions'!$B$8,0)</x:f>
        <x:v>0</x:v>
      </x:c>
      <x:c r="N57" s="37" t="n">
        <x:f>N56*(1+M57)</x:f>
        <x:v>1</x:v>
      </x:c>
      <x:c r="O57" s="36" t="n">
        <x:f>H57</x:f>
        <x:v>0.0035373842616002182</x:v>
      </x:c>
      <x:c r="P57" s="37" t="n">
        <x:f>P56*(1+O57)</x:f>
        <x:v>1.0958600649921704</x:v>
      </x:c>
      <x:c r="Q57" s="34" t="n">
        <x:f>MAX(Q56,N57)</x:f>
        <x:v>1</x:v>
      </x:c>
      <x:c r="R57" s="38" t="n">
        <x:f>N57/Q57-1</x:f>
        <x:v>0</x:v>
      </x:c>
      <x:c r="S57" s="39" t="n">
        <x:f>MAX(S56,P57)</x:f>
        <x:v>1.0958600649921704</x:v>
      </x:c>
      <x:c r="T57" s="38" t="n">
        <x:f>P57/S57-1</x:f>
        <x:v>0</x:v>
      </x:c>
      <x:c r="U57" s="33" t="n">
        <x:f>IF(AND(L57=1,L56=0),1,0)</x:f>
        <x:v>0</x:v>
      </x:c>
      <x:c r="V57" s="33" t="n">
        <x:f>IF(AND(L57=0,L56=1),1,0)</x:f>
        <x:v>0</x:v>
      </x:c>
      <x:c r="W57" s="33" t="n">
        <x:f>IF(L57=K56,0,1)</x:f>
        <x:v>0</x:v>
      </x:c>
    </x:row>
    <x:row r="58">
      <x:c r="A58" s="29" t="n">
        <x:v>45932.5625</x:v>
      </x:c>
      <x:c r="B58" s="30" t="n">
        <x:v>189.60000610351562</x:v>
      </x:c>
      <x:c r="C58" s="30" t="n">
        <x:v>191.0500030517578</x:v>
      </x:c>
      <x:c r="D58" s="30" t="n">
        <x:v>188.05999755859375</x:v>
      </x:c>
      <x:c r="E58" s="30" t="n">
        <x:v>188.88999938964844</x:v>
      </x:c>
      <x:c r="F58" s="30" t="n">
        <x:v>188.64939880371094</x:v>
      </x:c>
      <x:c r="G58" s="31" t="n">
        <x:v>136805800</x:v>
      </x:c>
      <x:c r="H58" s="32" t="n">
        <x:f>F58/F57-1</x:f>
        <x:v>0.008812247405822538</x:v>
      </x:c>
      <x:c r="I58" s="35" t="n">
        <x:f>AVERAGE(F39:F58)</x:f>
        <x:v>177.45624313354492</x:v>
      </x:c>
      <x:c r="J58" s="35" t="n">
        <x:f>AVERAGE(F9:F58)</x:f>
        <x:v>177.58850952148438</x:v>
      </x:c>
      <x:c r="K58" s="33" t="n">
        <x:f>IF(COUNT(I58:J58)=2,IF(I58&gt;J58,1,0),0)</x:f>
        <x:v>0</x:v>
      </x:c>
      <x:c r="L58" s="33" t="n">
        <x:f>K57</x:f>
        <x:v>0</x:v>
      </x:c>
      <x:c r="M58" s="36" t="n">
        <x:f>L58*H58-IF(L58&lt;&gt;L57,'Assumptions'!$B$7+'Assumptions'!$B$8,0)</x:f>
        <x:v>0</x:v>
      </x:c>
      <x:c r="N58" s="37" t="n">
        <x:f>N57*(1+M58)</x:f>
        <x:v>1</x:v>
      </x:c>
      <x:c r="O58" s="36" t="n">
        <x:f>H58</x:f>
        <x:v>0.008812247405822538</x:v>
      </x:c>
      <x:c r="P58" s="37" t="n">
        <x:f>P57*(1+O58)</x:f>
        <x:v>1.1055170550070421</x:v>
      </x:c>
      <x:c r="Q58" s="34" t="n">
        <x:f>MAX(Q57,N58)</x:f>
        <x:v>1</x:v>
      </x:c>
      <x:c r="R58" s="38" t="n">
        <x:f>N58/Q58-1</x:f>
        <x:v>0</x:v>
      </x:c>
      <x:c r="S58" s="39" t="n">
        <x:f>MAX(S57,P58)</x:f>
        <x:v>1.1055170550070421</x:v>
      </x:c>
      <x:c r="T58" s="38" t="n">
        <x:f>P58/S58-1</x:f>
        <x:v>0</x:v>
      </x:c>
      <x:c r="U58" s="33" t="n">
        <x:f>IF(AND(L58=1,L57=0),1,0)</x:f>
        <x:v>0</x:v>
      </x:c>
      <x:c r="V58" s="33" t="n">
        <x:f>IF(AND(L58=0,L57=1),1,0)</x:f>
        <x:v>0</x:v>
      </x:c>
      <x:c r="W58" s="33" t="n">
        <x:f>IF(L58=K57,0,1)</x:f>
        <x:v>0</x:v>
      </x:c>
    </x:row>
    <x:row r="59">
      <x:c r="A59" s="29" t="n">
        <x:v>45933.5625</x:v>
      </x:c>
      <x:c r="B59" s="30" t="n">
        <x:v>189.19000244140625</x:v>
      </x:c>
      <x:c r="C59" s="30" t="n">
        <x:v>190.36000061035156</x:v>
      </x:c>
      <x:c r="D59" s="30" t="n">
        <x:v>185.3800048828125</x:v>
      </x:c>
      <x:c r="E59" s="30" t="n">
        <x:v>187.6199951171875</x:v>
      </x:c>
      <x:c r="F59" s="30" t="n">
        <x:v>187.38101196289062</x:v>
      </x:c>
      <x:c r="G59" s="31" t="n">
        <x:v>137596900</x:v>
      </x:c>
      <x:c r="H59" s="32" t="n">
        <x:f>F59/F58-1</x:f>
        <x:v>-0.006723513824393734</x:v>
      </x:c>
      <x:c r="I59" s="35" t="n">
        <x:f>AVERAGE(F40:F59)</x:f>
        <x:v>178.485400390625</x:v>
      </x:c>
      <x:c r="J59" s="35" t="n">
        <x:f>AVERAGE(F10:F59)</x:f>
        <x:v>177.86595153808594</x:v>
      </x:c>
      <x:c r="K59" s="33" t="n">
        <x:f>IF(COUNT(I59:J59)=2,IF(I59&gt;J59,1,0),0)</x:f>
        <x:v>1</x:v>
      </x:c>
      <x:c r="L59" s="33" t="n">
        <x:f>K58</x:f>
        <x:v>0</x:v>
      </x:c>
      <x:c r="M59" s="36" t="n">
        <x:f>L59*H59-IF(L59&lt;&gt;L58,'Assumptions'!$B$7+'Assumptions'!$B$8,0)</x:f>
        <x:v>0</x:v>
      </x:c>
      <x:c r="N59" s="37" t="n">
        <x:f>N58*(1+M59)</x:f>
        <x:v>1</x:v>
      </x:c>
      <x:c r="O59" s="36" t="n">
        <x:f>H59</x:f>
        <x:v>-0.006723513824393734</x:v>
      </x:c>
      <x:c r="P59" s="37" t="n">
        <x:f>P58*(1+O59)</x:f>
        <x:v>1.0980840958045992</x:v>
      </x:c>
      <x:c r="Q59" s="34" t="n">
        <x:f>MAX(Q58,N59)</x:f>
        <x:v>1</x:v>
      </x:c>
      <x:c r="R59" s="38" t="n">
        <x:f>N59/Q59-1</x:f>
        <x:v>0</x:v>
      </x:c>
      <x:c r="S59" s="39" t="n">
        <x:f>MAX(S58,P59)</x:f>
        <x:v>1.1055170550070421</x:v>
      </x:c>
      <x:c r="T59" s="38" t="n">
        <x:f>P59/S59-1</x:f>
        <x:v>-0.006723513824393734</x:v>
      </x:c>
      <x:c r="U59" s="33" t="n">
        <x:f>IF(AND(L59=1,L58=0),1,0)</x:f>
        <x:v>0</x:v>
      </x:c>
      <x:c r="V59" s="33" t="n">
        <x:f>IF(AND(L59=0,L58=1),1,0)</x:f>
        <x:v>0</x:v>
      </x:c>
      <x:c r="W59" s="33" t="n">
        <x:f>IF(L59=K58,0,1)</x:f>
        <x:v>0</x:v>
      </x:c>
    </x:row>
    <x:row r="60">
      <x:c r="A60" s="29" t="n">
        <x:v>45936.5625</x:v>
      </x:c>
      <x:c r="B60" s="30" t="n">
        <x:v>185.5</x:v>
      </x:c>
      <x:c r="C60" s="30" t="n">
        <x:v>187.22999572753906</x:v>
      </x:c>
      <x:c r="D60" s="30" t="n">
        <x:v>183.3300018310547</x:v>
      </x:c>
      <x:c r="E60" s="30" t="n">
        <x:v>185.5399932861328</x:v>
      </x:c>
      <x:c r="F60" s="30" t="n">
        <x:v>185.30364990234375</x:v>
      </x:c>
      <x:c r="G60" s="31" t="n">
        <x:v>157678100</x:v>
      </x:c>
      <x:c r="H60" s="32" t="n">
        <x:f>F60/F59-1</x:f>
        <x:v>-0.011086299720476922</x:v>
      </x:c>
      <x:c r="I60" s="35" t="n">
        <x:f>AVERAGE(F41:F60)</x:f>
        <x:v>179.34627685546874</x:v>
      </x:c>
      <x:c r="J60" s="35" t="n">
        <x:f>AVERAGE(F11:F60)</x:f>
        <x:v>178.10664001464843</x:v>
      </x:c>
      <x:c r="K60" s="33" t="n">
        <x:f>IF(COUNT(I60:J60)=2,IF(I60&gt;J60,1,0),0)</x:f>
        <x:v>1</x:v>
      </x:c>
      <x:c r="L60" s="33" t="n">
        <x:f>K59</x:f>
        <x:v>1</x:v>
      </x:c>
      <x:c r="M60" s="36" t="n">
        <x:f>L60*H60-IF(L60&lt;&gt;L59,'Assumptions'!$B$7+'Assumptions'!$B$8,0)</x:f>
        <x:v>-0.012086299720476923</x:v>
      </x:c>
      <x:c r="N60" s="37" t="n">
        <x:f>N59*(1+M60)</x:f>
        <x:v>0.9879137002795231</x:v>
      </x:c>
      <x:c r="O60" s="36" t="n">
        <x:f>H60</x:f>
        <x:v>-0.011086299720476922</x:v>
      </x:c>
      <x:c r="P60" s="37" t="n">
        <x:f>P59*(1+O60)</x:f>
        <x:v>1.0859104064002205</x:v>
      </x:c>
      <x:c r="Q60" s="34" t="n">
        <x:f>MAX(Q59,N60)</x:f>
        <x:v>1</x:v>
      </x:c>
      <x:c r="R60" s="38" t="n">
        <x:f>N60/Q60-1</x:f>
        <x:v>-0.012086299720476923</x:v>
      </x:c>
      <x:c r="S60" s="39" t="n">
        <x:f>MAX(S59,P60)</x:f>
        <x:v>1.1055170550070421</x:v>
      </x:c>
      <x:c r="T60" s="38" t="n">
        <x:f>P60/S60-1</x:f>
        <x:v>-0.01773527465543867</x:v>
      </x:c>
      <x:c r="U60" s="33" t="n">
        <x:f>IF(AND(L60=1,L59=0),1,0)</x:f>
        <x:v>1</x:v>
      </x:c>
      <x:c r="V60" s="33" t="n">
        <x:f>IF(AND(L60=0,L59=1),1,0)</x:f>
        <x:v>0</x:v>
      </x:c>
      <x:c r="W60" s="33" t="n">
        <x:f>IF(L60=K59,0,1)</x:f>
        <x:v>0</x:v>
      </x:c>
    </x:row>
    <x:row r="61">
      <x:c r="A61" s="29" t="n">
        <x:v>45937.5625</x:v>
      </x:c>
      <x:c r="B61" s="30" t="n">
        <x:v>186.22999572753906</x:v>
      </x:c>
      <x:c r="C61" s="30" t="n">
        <x:v>189.05999755859375</x:v>
      </x:c>
      <x:c r="D61" s="30" t="n">
        <x:v>184</x:v>
      </x:c>
      <x:c r="E61" s="30" t="n">
        <x:v>185.0399932861328</x:v>
      </x:c>
      <x:c r="F61" s="30" t="n">
        <x:v>184.80429077148438</x:v>
      </x:c>
      <x:c r="G61" s="31" t="n">
        <x:v>140088000</x:v>
      </x:c>
      <x:c r="H61" s="32" t="n">
        <x:f>F61/F60-1</x:f>
        <x:v>-0.0026948154076972264</x:v>
      </x:c>
      <x:c r="I61" s="35" t="n">
        <x:f>AVERAGE(F42:F61)</x:f>
        <x:v>180.0598487854004</x:v>
      </x:c>
      <x:c r="J61" s="35" t="n">
        <x:f>AVERAGE(F12:F61)</x:f>
        <x:v>178.27242797851562</x:v>
      </x:c>
      <x:c r="K61" s="33" t="n">
        <x:f>IF(COUNT(I61:J61)=2,IF(I61&gt;J61,1,0),0)</x:f>
        <x:v>1</x:v>
      </x:c>
      <x:c r="L61" s="33" t="n">
        <x:f>K60</x:f>
        <x:v>1</x:v>
      </x:c>
      <x:c r="M61" s="36" t="n">
        <x:f>L61*H61-IF(L61&lt;&gt;L60,'Assumptions'!$B$7+'Assumptions'!$B$8,0)</x:f>
        <x:v>-0.0026948154076972264</x:v>
      </x:c>
      <x:c r="N61" s="37" t="n">
        <x:f>N60*(1+M61)</x:f>
        <x:v>0.9852514552185346</x:v>
      </x:c>
      <x:c r="O61" s="36" t="n">
        <x:f>H61</x:f>
        <x:v>-0.0026948154076972264</x:v>
      </x:c>
      <x:c r="P61" s="37" t="n">
        <x:f>P60*(1+O61)</x:f>
        <x:v>1.0829840783056746</x:v>
      </x:c>
      <x:c r="Q61" s="34" t="n">
        <x:f>MAX(Q60,N61)</x:f>
        <x:v>1</x:v>
      </x:c>
      <x:c r="R61" s="38" t="n">
        <x:f>N61/Q61-1</x:f>
        <x:v>-0.014748544781465367</x:v>
      </x:c>
      <x:c r="S61" s="39" t="n">
        <x:f>MAX(S60,P61)</x:f>
        <x:v>1.1055170550070421</x:v>
      </x:c>
      <x:c r="T61" s="38" t="n">
        <x:f>P61/S61-1</x:f>
        <x:v>-0.02038229677173453</x:v>
      </x:c>
      <x:c r="U61" s="33" t="n">
        <x:f>IF(AND(L61=1,L60=0),1,0)</x:f>
        <x:v>0</x:v>
      </x:c>
      <x:c r="V61" s="33" t="n">
        <x:f>IF(AND(L61=0,L60=1),1,0)</x:f>
        <x:v>0</x:v>
      </x:c>
      <x:c r="W61" s="33" t="n">
        <x:f>IF(L61=K60,0,1)</x:f>
        <x:v>0</x:v>
      </x:c>
    </x:row>
    <x:row r="62">
      <x:c r="A62" s="29" t="n">
        <x:v>45938.5625</x:v>
      </x:c>
      <x:c r="B62" s="30" t="n">
        <x:v>186.57000732421875</x:v>
      </x:c>
      <x:c r="C62" s="30" t="n">
        <x:v>189.60000610351562</x:v>
      </x:c>
      <x:c r="D62" s="30" t="n">
        <x:v>186.5399932861328</x:v>
      </x:c>
      <x:c r="E62" s="30" t="n">
        <x:v>189.11000061035156</x:v>
      </x:c>
      <x:c r="F62" s="30" t="n">
        <x:v>188.86911010742188</x:v>
      </x:c>
      <x:c r="G62" s="31" t="n">
        <x:v>130168900</x:v>
      </x:c>
      <x:c r="H62" s="32" t="n">
        <x:f>F62/F61-1</x:f>
        <x:v>0.021995264931179426</x:v>
      </x:c>
      <x:c r="I62" s="35" t="n">
        <x:f>AVERAGE(F43:F62)</x:f>
        <x:v>180.64859771728516</x:v>
      </x:c>
      <x:c r="J62" s="35" t="n">
        <x:f>AVERAGE(F13:F62)</x:f>
        <x:v>178.54427947998047</x:v>
      </x:c>
      <x:c r="K62" s="33" t="n">
        <x:f>IF(COUNT(I62:J62)=2,IF(I62&gt;J62,1,0),0)</x:f>
        <x:v>1</x:v>
      </x:c>
      <x:c r="L62" s="33" t="n">
        <x:f>K61</x:f>
        <x:v>1</x:v>
      </x:c>
      <x:c r="M62" s="36" t="n">
        <x:f>L62*H62-IF(L62&lt;&gt;L61,'Assumptions'!$B$7+'Assumptions'!$B$8,0)</x:f>
        <x:v>0.021995264931179426</x:v>
      </x:c>
      <x:c r="N62" s="37" t="n">
        <x:f>N61*(1+M62)</x:f>
        <x:v>1.0069223219998964</x:v>
      </x:c>
      <x:c r="O62" s="36" t="n">
        <x:f>H62</x:f>
        <x:v>0.021995264931179426</x:v>
      </x:c>
      <x:c r="P62" s="37" t="n">
        <x:f>P61*(1+O62)</x:f>
        <x:v>1.106804600024257</x:v>
      </x:c>
      <x:c r="Q62" s="34" t="n">
        <x:f>MAX(Q61,N62)</x:f>
        <x:v>1.0069223219998964</x:v>
      </x:c>
      <x:c r="R62" s="38" t="n">
        <x:f>N62/Q62-1</x:f>
        <x:v>0</x:v>
      </x:c>
      <x:c r="S62" s="39" t="n">
        <x:f>MAX(S61,P62)</x:f>
        <x:v>1.106804600024257</x:v>
      </x:c>
      <x:c r="T62" s="38" t="n">
        <x:f>P62/S62-1</x:f>
        <x:v>0</x:v>
      </x:c>
      <x:c r="U62" s="33" t="n">
        <x:f>IF(AND(L62=1,L61=0),1,0)</x:f>
        <x:v>0</x:v>
      </x:c>
      <x:c r="V62" s="33" t="n">
        <x:f>IF(AND(L62=0,L61=1),1,0)</x:f>
        <x:v>0</x:v>
      </x:c>
      <x:c r="W62" s="33" t="n">
        <x:f>IF(L62=K61,0,1)</x:f>
        <x:v>0</x:v>
      </x:c>
    </x:row>
    <x:row r="63">
      <x:c r="A63" s="29" t="n">
        <x:v>45939.5625</x:v>
      </x:c>
      <x:c r="B63" s="30" t="n">
        <x:v>192.22999572753906</x:v>
      </x:c>
      <x:c r="C63" s="30" t="n">
        <x:v>195.3000030517578</x:v>
      </x:c>
      <x:c r="D63" s="30" t="n">
        <x:v>191.05999755859375</x:v>
      </x:c>
      <x:c r="E63" s="30" t="n">
        <x:v>192.57000732421875</x:v>
      </x:c>
      <x:c r="F63" s="30" t="n">
        <x:v>192.32470703125</x:v>
      </x:c>
      <x:c r="G63" s="31" t="n">
        <x:v>182997200</x:v>
      </x:c>
      <x:c r="H63" s="32" t="n">
        <x:f>F63/F62-1</x:f>
        <x:v>0.0182962524780399</x:v>
      </x:c>
      <x:c r="I63" s="35" t="n">
        <x:f>AVERAGE(F44:F63)</x:f>
        <x:v>181.41761627197266</x:v>
      </x:c>
      <x:c r="J63" s="35" t="n">
        <x:f>AVERAGE(F14:F63)</x:f>
        <x:v>178.81014251708984</x:v>
      </x:c>
      <x:c r="K63" s="33" t="n">
        <x:f>IF(COUNT(I63:J63)=2,IF(I63&gt;J63,1,0),0)</x:f>
        <x:v>1</x:v>
      </x:c>
      <x:c r="L63" s="33" t="n">
        <x:f>K62</x:f>
        <x:v>1</x:v>
      </x:c>
      <x:c r="M63" s="36" t="n">
        <x:f>L63*H63-IF(L63&lt;&gt;L62,'Assumptions'!$B$7+'Assumptions'!$B$8,0)</x:f>
        <x:v>0.0182962524780399</x:v>
      </x:c>
      <x:c r="N63" s="37" t="n">
        <x:f>N62*(1+M63)</x:f>
        <x:v>1.0253452270289807</x:v>
      </x:c>
      <x:c r="O63" s="36" t="n">
        <x:f>H63</x:f>
        <x:v>0.0182962524780399</x:v>
      </x:c>
      <x:c r="P63" s="37" t="n">
        <x:f>P62*(1+O63)</x:f>
        <x:v>1.1270549764301567</x:v>
      </x:c>
      <x:c r="Q63" s="34" t="n">
        <x:f>MAX(Q62,N63)</x:f>
        <x:v>1.0253452270289807</x:v>
      </x:c>
      <x:c r="R63" s="38" t="n">
        <x:f>N63/Q63-1</x:f>
        <x:v>0</x:v>
      </x:c>
      <x:c r="S63" s="39" t="n">
        <x:f>MAX(S62,P63)</x:f>
        <x:v>1.1270549764301567</x:v>
      </x:c>
      <x:c r="T63" s="38" t="n">
        <x:f>P63/S63-1</x:f>
        <x:v>0</x:v>
      </x:c>
      <x:c r="U63" s="33" t="n">
        <x:f>IF(AND(L63=1,L62=0),1,0)</x:f>
        <x:v>0</x:v>
      </x:c>
      <x:c r="V63" s="33" t="n">
        <x:f>IF(AND(L63=0,L62=1),1,0)</x:f>
        <x:v>0</x:v>
      </x:c>
      <x:c r="W63" s="33" t="n">
        <x:f>IF(L63=K62,0,1)</x:f>
        <x:v>0</x:v>
      </x:c>
    </x:row>
    <x:row r="64">
      <x:c r="A64" s="29" t="n">
        <x:v>45940.5625</x:v>
      </x:c>
      <x:c r="B64" s="30" t="n">
        <x:v>193.50999450683594</x:v>
      </x:c>
      <x:c r="C64" s="30" t="n">
        <x:v>195.6199951171875</x:v>
      </x:c>
      <x:c r="D64" s="30" t="n">
        <x:v>182.0500030517578</x:v>
      </x:c>
      <x:c r="E64" s="30" t="n">
        <x:v>183.16000366210938</x:v>
      </x:c>
      <x:c r="F64" s="30" t="n">
        <x:v>182.92669677734375</x:v>
      </x:c>
      <x:c r="G64" s="31" t="n">
        <x:v>268774400</x:v>
      </x:c>
      <x:c r="H64" s="32" t="n">
        <x:f>F64/F63-1</x:f>
        <x:v>-0.04886532988389891</x:v>
      </x:c>
      <x:c r="I64" s="35" t="n">
        <x:f>AVERAGE(F45:F64)</x:f>
        <x:v>181.68427658081055</x:v>
      </x:c>
      <x:c r="J64" s="35" t="n">
        <x:f>AVERAGE(F15:F64)</x:f>
        <x:v>178.91600830078124</x:v>
      </x:c>
      <x:c r="K64" s="33" t="n">
        <x:f>IF(COUNT(I64:J64)=2,IF(I64&gt;J64,1,0),0)</x:f>
        <x:v>1</x:v>
      </x:c>
      <x:c r="L64" s="33" t="n">
        <x:f>K63</x:f>
        <x:v>1</x:v>
      </x:c>
      <x:c r="M64" s="36" t="n">
        <x:f>L64*H64-IF(L64&lt;&gt;L63,'Assumptions'!$B$7+'Assumptions'!$B$8,0)</x:f>
        <x:v>-0.04886532988389891</x:v>
      </x:c>
      <x:c r="N64" s="37" t="n">
        <x:f>N63*(1+M64)</x:f>
        <x:v>0.9752413942653283</x:v>
      </x:c>
      <x:c r="O64" s="36" t="n">
        <x:f>H64</x:f>
        <x:v>-0.04886532988389891</x:v>
      </x:c>
      <x:c r="P64" s="37" t="n">
        <x:f>P63*(1+O64)</x:f>
        <x:v>1.0719810632096072</x:v>
      </x:c>
      <x:c r="Q64" s="34" t="n">
        <x:f>MAX(Q63,N64)</x:f>
        <x:v>1.0253452270289807</x:v>
      </x:c>
      <x:c r="R64" s="38" t="n">
        <x:f>N64/Q64-1</x:f>
        <x:v>-0.04886532988389891</x:v>
      </x:c>
      <x:c r="S64" s="39" t="n">
        <x:f>MAX(S63,P64)</x:f>
        <x:v>1.1270549764301567</x:v>
      </x:c>
      <x:c r="T64" s="38" t="n">
        <x:f>P64/S64-1</x:f>
        <x:v>-0.04886532988389891</x:v>
      </x:c>
      <x:c r="U64" s="33" t="n">
        <x:f>IF(AND(L64=1,L63=0),1,0)</x:f>
        <x:v>0</x:v>
      </x:c>
      <x:c r="V64" s="33" t="n">
        <x:f>IF(AND(L64=0,L63=1),1,0)</x:f>
        <x:v>0</x:v>
      </x:c>
      <x:c r="W64" s="33" t="n">
        <x:f>IF(L64=K63,0,1)</x:f>
        <x:v>0</x:v>
      </x:c>
    </x:row>
    <x:row r="65">
      <x:c r="A65" s="29" t="n">
        <x:v>45943.5625</x:v>
      </x:c>
      <x:c r="B65" s="30" t="n">
        <x:v>187.97000122070312</x:v>
      </x:c>
      <x:c r="C65" s="30" t="n">
        <x:v>190.11000061035156</x:v>
      </x:c>
      <x:c r="D65" s="30" t="n">
        <x:v>185.9600067138672</x:v>
      </x:c>
      <x:c r="E65" s="30" t="n">
        <x:v>188.32000732421875</x:v>
      </x:c>
      <x:c r="F65" s="30" t="n">
        <x:v>188.0801239013672</x:v>
      </x:c>
      <x:c r="G65" s="31" t="n">
        <x:v>153482800</x:v>
      </x:c>
      <x:c r="H65" s="32" t="n">
        <x:f>F65/F64-1</x:f>
        <x:v>0.028172088682583807</x:v>
      </x:c>
      <x:c r="I65" s="35" t="n">
        <x:f>AVERAGE(F46:F65)</x:f>
        <x:v>182.21210327148438</x:v>
      </x:c>
      <x:c r="J65" s="35" t="n">
        <x:f>AVERAGE(F16:F65)</x:f>
        <x:v>179.20783203125</x:v>
      </x:c>
      <x:c r="K65" s="33" t="n">
        <x:f>IF(COUNT(I65:J65)=2,IF(I65&gt;J65,1,0),0)</x:f>
        <x:v>1</x:v>
      </x:c>
      <x:c r="L65" s="33" t="n">
        <x:f>K64</x:f>
        <x:v>1</x:v>
      </x:c>
      <x:c r="M65" s="36" t="n">
        <x:f>L65*H65-IF(L65&lt;&gt;L64,'Assumptions'!$B$7+'Assumptions'!$B$8,0)</x:f>
        <x:v>0.028172088682583807</x:v>
      </x:c>
      <x:c r="N65" s="37" t="n">
        <x:f>N64*(1+M65)</x:f>
        <x:v>1.0027159813114979</x:v>
      </x:c>
      <x:c r="O65" s="36" t="n">
        <x:f>H65</x:f>
        <x:v>0.028172088682583807</x:v>
      </x:c>
      <x:c r="P65" s="37" t="n">
        <x:f>P64*(1+O65)</x:f>
        <x:v>1.1021810087883988</x:v>
      </x:c>
      <x:c r="Q65" s="34" t="n">
        <x:f>MAX(Q64,N65)</x:f>
        <x:v>1.0253452270289807</x:v>
      </x:c>
      <x:c r="R65" s="38" t="n">
        <x:f>N65/Q65-1</x:f>
        <x:v>-0.022069879608307974</x:v>
      </x:c>
      <x:c r="S65" s="39" t="n">
        <x:f>MAX(S64,P65)</x:f>
        <x:v>1.1270549764301567</x:v>
      </x:c>
      <x:c r="T65" s="38" t="n">
        <x:f>P65/S65-1</x:f>
        <x:v>-0.022069879608307974</x:v>
      </x:c>
      <x:c r="U65" s="33" t="n">
        <x:f>IF(AND(L65=1,L64=0),1,0)</x:f>
        <x:v>0</x:v>
      </x:c>
      <x:c r="V65" s="33" t="n">
        <x:f>IF(AND(L65=0,L64=1),1,0)</x:f>
        <x:v>0</x:v>
      </x:c>
      <x:c r="W65" s="33" t="n">
        <x:f>IF(L65=K64,0,1)</x:f>
        <x:v>0</x:v>
      </x:c>
    </x:row>
    <x:row r="66">
      <x:c r="A66" s="29" t="n">
        <x:v>45944.5625</x:v>
      </x:c>
      <x:c r="B66" s="30" t="n">
        <x:v>184.77000427246094</x:v>
      </x:c>
      <x:c r="C66" s="30" t="n">
        <x:v>184.8000030517578</x:v>
      </x:c>
      <x:c r="D66" s="30" t="n">
        <x:v>179.6999969482422</x:v>
      </x:c>
      <x:c r="E66" s="30" t="n">
        <x:v>180.02999877929688</x:v>
      </x:c>
      <x:c r="F66" s="30" t="n">
        <x:v>179.8006591796875</x:v>
      </x:c>
      <x:c r="G66" s="31" t="n">
        <x:v>205641400</x:v>
      </x:c>
      <x:c r="H66" s="32" t="n">
        <x:f>F66/F65-1</x:f>
        <x:v>-0.04402094463751838</x:v>
      </x:c>
      <x:c r="I66" s="35" t="n">
        <x:f>AVERAGE(F47:F66)</x:f>
        <x:v>182.4692741394043</x:v>
      </x:c>
      <x:c r="J66" s="35" t="n">
        <x:f>AVERAGE(F17:F66)</x:f>
        <x:v>179.20863342285156</x:v>
      </x:c>
      <x:c r="K66" s="33" t="n">
        <x:f>IF(COUNT(I66:J66)=2,IF(I66&gt;J66,1,0),0)</x:f>
        <x:v>1</x:v>
      </x:c>
      <x:c r="L66" s="33" t="n">
        <x:f>K65</x:f>
        <x:v>1</x:v>
      </x:c>
      <x:c r="M66" s="36" t="n">
        <x:f>L66*H66-IF(L66&lt;&gt;L65,'Assumptions'!$B$7+'Assumptions'!$B$8,0)</x:f>
        <x:v>-0.04402094463751838</x:v>
      </x:c>
      <x:c r="N66" s="37" t="n">
        <x:f>N65*(1+M66)</x:f>
        <x:v>0.9585754766110295</x:v>
      </x:c>
      <x:c r="O66" s="36" t="n">
        <x:f>H66</x:f>
        <x:v>-0.04402094463751838</x:v>
      </x:c>
      <x:c r="P66" s="37" t="n">
        <x:f>P65*(1+O66)</x:f>
        <x:v>1.0536619596200005</x:v>
      </x:c>
      <x:c r="Q66" s="34" t="n">
        <x:f>MAX(Q65,N66)</x:f>
        <x:v>1.0253452270289807</x:v>
      </x:c>
      <x:c r="R66" s="38" t="n">
        <x:f>N66/Q66-1</x:f>
        <x:v>-0.06511928729743233</x:v>
      </x:c>
      <x:c r="S66" s="39" t="n">
        <x:f>MAX(S65,P66)</x:f>
        <x:v>1.1270549764301567</x:v>
      </x:c>
      <x:c r="T66" s="38" t="n">
        <x:f>P66/S66-1</x:f>
        <x:v>-0.06511928729743233</x:v>
      </x:c>
      <x:c r="U66" s="33" t="n">
        <x:f>IF(AND(L66=1,L65=0),1,0)</x:f>
        <x:v>0</x:v>
      </x:c>
      <x:c r="V66" s="33" t="n">
        <x:f>IF(AND(L66=0,L65=1),1,0)</x:f>
        <x:v>0</x:v>
      </x:c>
      <x:c r="W66" s="33" t="n">
        <x:f>IF(L66=K65,0,1)</x:f>
        <x:v>0</x:v>
      </x:c>
    </x:row>
    <x:row r="67">
      <x:c r="A67" s="29" t="n">
        <x:v>45945.5625</x:v>
      </x:c>
      <x:c r="B67" s="30" t="n">
        <x:v>184.8000030517578</x:v>
      </x:c>
      <x:c r="C67" s="30" t="n">
        <x:v>184.8699951171875</x:v>
      </x:c>
      <x:c r="D67" s="30" t="n">
        <x:v>177.2899932861328</x:v>
      </x:c>
      <x:c r="E67" s="30" t="n">
        <x:v>179.8300018310547</x:v>
      </x:c>
      <x:c r="F67" s="30" t="n">
        <x:v>179.60093688964844</x:v>
      </x:c>
      <x:c r="G67" s="31" t="n">
        <x:v>214450500</x:v>
      </x:c>
      <x:c r="H67" s="32" t="n">
        <x:f>F67/F66-1</x:f>
        <x:v>-0.0011107984306079066</x:v>
      </x:c>
      <x:c r="I67" s="35" t="n">
        <x:f>AVERAGE(F48:F67)</x:f>
        <x:v>182.9456672668457</x:v>
      </x:c>
      <x:c r="J67" s="35" t="n">
        <x:f>AVERAGE(F18:F67)</x:f>
        <x:v>179.24019439697267</x:v>
      </x:c>
      <x:c r="K67" s="33" t="n">
        <x:f>IF(COUNT(I67:J67)=2,IF(I67&gt;J67,1,0),0)</x:f>
        <x:v>1</x:v>
      </x:c>
      <x:c r="L67" s="33" t="n">
        <x:f>K66</x:f>
        <x:v>1</x:v>
      </x:c>
      <x:c r="M67" s="36" t="n">
        <x:f>L67*H67-IF(L67&lt;&gt;L66,'Assumptions'!$B$7+'Assumptions'!$B$8,0)</x:f>
        <x:v>-0.0011107984306079066</x:v>
      </x:c>
      <x:c r="N67" s="37" t="n">
        <x:f>N66*(1+M67)</x:f>
        <x:v>0.9575106924759907</x:v>
      </x:c>
      <x:c r="O67" s="36" t="n">
        <x:f>H67</x:f>
        <x:v>-0.0011107984306079066</x:v>
      </x:c>
      <x:c r="P67" s="37" t="n">
        <x:f>P66*(1+O67)</x:f>
        <x:v>1.0524915535688635</x:v>
      </x:c>
      <x:c r="Q67" s="34" t="n">
        <x:f>MAX(Q66,N67)</x:f>
        <x:v>1.0253452270289807</x:v>
      </x:c>
      <x:c r="R67" s="38" t="n">
        <x:f>N67/Q67-1</x:f>
        <x:v>-0.06615775132590795</x:v>
      </x:c>
      <x:c r="S67" s="39" t="n">
        <x:f>MAX(S66,P67)</x:f>
        <x:v>1.1270549764301567</x:v>
      </x:c>
      <x:c r="T67" s="38" t="n">
        <x:f>P67/S67-1</x:f>
        <x:v>-0.06615775132590784</x:v>
      </x:c>
      <x:c r="U67" s="33" t="n">
        <x:f>IF(AND(L67=1,L66=0),1,0)</x:f>
        <x:v>0</x:v>
      </x:c>
      <x:c r="V67" s="33" t="n">
        <x:f>IF(AND(L67=0,L66=1),1,0)</x:f>
        <x:v>0</x:v>
      </x:c>
      <x:c r="W67" s="33" t="n">
        <x:f>IF(L67=K66,0,1)</x:f>
        <x:v>0</x:v>
      </x:c>
    </x:row>
    <x:row r="68">
      <x:c r="A68" s="29" t="n">
        <x:v>45946.5625</x:v>
      </x:c>
      <x:c r="B68" s="30" t="n">
        <x:v>182.22999572753906</x:v>
      </x:c>
      <x:c r="C68" s="30" t="n">
        <x:v>183.27999877929688</x:v>
      </x:c>
      <x:c r="D68" s="30" t="n">
        <x:v>179.77000427246094</x:v>
      </x:c>
      <x:c r="E68" s="30" t="n">
        <x:v>181.80999755859375</x:v>
      </x:c>
      <x:c r="F68" s="30" t="n">
        <x:v>181.5784149169922</x:v>
      </x:c>
      <x:c r="G68" s="31" t="n">
        <x:v>179723300</x:v>
      </x:c>
      <x:c r="H68" s="32" t="n">
        <x:f>F68/F67-1</x:f>
        <x:v>0.01101039928627312</x:v>
      </x:c>
      <x:c r="I68" s="35" t="n">
        <x:f>AVERAGE(F49:F68)</x:f>
        <x:v>183.22381210327148</x:v>
      </x:c>
      <x:c r="J68" s="35" t="n">
        <x:f>AVERAGE(F19:F68)</x:f>
        <x:v>179.28813568115234</x:v>
      </x:c>
      <x:c r="K68" s="33" t="n">
        <x:f>IF(COUNT(I68:J68)=2,IF(I68&gt;J68,1,0),0)</x:f>
        <x:v>1</x:v>
      </x:c>
      <x:c r="L68" s="33" t="n">
        <x:f>K67</x:f>
        <x:v>1</x:v>
      </x:c>
      <x:c r="M68" s="36" t="n">
        <x:f>L68*H68-IF(L68&lt;&gt;L67,'Assumptions'!$B$7+'Assumptions'!$B$8,0)</x:f>
        <x:v>0.01101039928627312</x:v>
      </x:c>
      <x:c r="N68" s="37" t="n">
        <x:f>N67*(1+M68)</x:f>
        <x:v>0.9680532675210273</x:v>
      </x:c>
      <x:c r="O68" s="36" t="n">
        <x:f>H68</x:f>
        <x:v>0.01101039928627312</x:v>
      </x:c>
      <x:c r="P68" s="37" t="n">
        <x:f>P67*(1+O68)</x:f>
        <x:v>1.0640799058190866</x:v>
      </x:c>
      <x:c r="Q68" s="34" t="n">
        <x:f>MAX(Q67,N68)</x:f>
        <x:v>1.0253452270289807</x:v>
      </x:c>
      <x:c r="R68" s="38" t="n">
        <x:f>N68/Q68-1</x:f>
        <x:v>-0.055875775297615005</x:v>
      </x:c>
      <x:c r="S68" s="39" t="n">
        <x:f>MAX(S67,P68)</x:f>
        <x:v>1.1270549764301567</x:v>
      </x:c>
      <x:c r="T68" s="38" t="n">
        <x:f>P68/S68-1</x:f>
        <x:v>-0.055875775297614894</x:v>
      </x:c>
      <x:c r="U68" s="33" t="n">
        <x:f>IF(AND(L68=1,L67=0),1,0)</x:f>
        <x:v>0</x:v>
      </x:c>
      <x:c r="V68" s="33" t="n">
        <x:f>IF(AND(L68=0,L67=1),1,0)</x:f>
        <x:v>0</x:v>
      </x:c>
      <x:c r="W68" s="33" t="n">
        <x:f>IF(L68=K67,0,1)</x:f>
        <x:v>0</x:v>
      </x:c>
    </x:row>
    <x:row r="69">
      <x:c r="A69" s="29" t="n">
        <x:v>45947.5625</x:v>
      </x:c>
      <x:c r="B69" s="30" t="n">
        <x:v>180.17999267578125</x:v>
      </x:c>
      <x:c r="C69" s="30" t="n">
        <x:v>184.10000610351562</x:v>
      </x:c>
      <x:c r="D69" s="30" t="n">
        <x:v>179.75</x:v>
      </x:c>
      <x:c r="E69" s="30" t="n">
        <x:v>183.22000122070312</x:v>
      </x:c>
      <x:c r="F69" s="30" t="n">
        <x:v>182.9866180419922</x:v>
      </x:c>
      <x:c r="G69" s="31" t="n">
        <x:v>173135200</x:v>
      </x:c>
      <x:c r="H69" s="32" t="n">
        <x:f>F69/F68-1</x:f>
        <x:v>0.007755344299286593</x:v>
      </x:c>
      <x:c r="I69" s="35" t="n">
        <x:f>AVERAGE(F50:F69)</x:f>
        <x:v>183.55089569091797</x:v>
      </x:c>
      <x:c r="J69" s="35" t="n">
        <x:f>AVERAGE(F20:F69)</x:f>
        <x:v>179.33727661132812</x:v>
      </x:c>
      <x:c r="K69" s="33" t="n">
        <x:f>IF(COUNT(I69:J69)=2,IF(I69&gt;J69,1,0),0)</x:f>
        <x:v>1</x:v>
      </x:c>
      <x:c r="L69" s="33" t="n">
        <x:f>K68</x:f>
        <x:v>1</x:v>
      </x:c>
      <x:c r="M69" s="36" t="n">
        <x:f>L69*H69-IF(L69&lt;&gt;L68,'Assumptions'!$B$7+'Assumptions'!$B$8,0)</x:f>
        <x:v>0.007755344299286593</x:v>
      </x:c>
      <x:c r="N69" s="37" t="n">
        <x:f>N68*(1+M69)</x:f>
        <x:v>0.9755608539107022</x:v>
      </x:c>
      <x:c r="O69" s="36" t="n">
        <x:f>H69</x:f>
        <x:v>0.007755344299286593</x:v>
      </x:c>
      <x:c r="P69" s="37" t="n">
        <x:f>P68*(1+O69)</x:f>
        <x:v>1.0723322118506662</x:v>
      </x:c>
      <x:c r="Q69" s="34" t="n">
        <x:f>MAX(Q68,N69)</x:f>
        <x:v>1.0253452270289807</x:v>
      </x:c>
      <x:c r="R69" s="38" t="n">
        <x:f>N69/Q69-1</x:f>
        <x:v>-0.048553766873751014</x:v>
      </x:c>
      <x:c r="S69" s="39" t="n">
        <x:f>MAX(S68,P69)</x:f>
        <x:v>1.1270549764301567</x:v>
      </x:c>
      <x:c r="T69" s="38" t="n">
        <x:f>P69/S69-1</x:f>
        <x:v>-0.04855376687375079</x:v>
      </x:c>
      <x:c r="U69" s="33" t="n">
        <x:f>IF(AND(L69=1,L68=0),1,0)</x:f>
        <x:v>0</x:v>
      </x:c>
      <x:c r="V69" s="33" t="n">
        <x:f>IF(AND(L69=0,L68=1),1,0)</x:f>
        <x:v>0</x:v>
      </x:c>
      <x:c r="W69" s="33" t="n">
        <x:f>IF(L69=K68,0,1)</x:f>
        <x:v>0</x:v>
      </x:c>
    </x:row>
    <x:row r="70">
      <x:c r="A70" s="29" t="n">
        <x:v>45950.5625</x:v>
      </x:c>
      <x:c r="B70" s="30" t="n">
        <x:v>183.1300048828125</x:v>
      </x:c>
      <x:c r="C70" s="30" t="n">
        <x:v>185.1999969482422</x:v>
      </x:c>
      <x:c r="D70" s="30" t="n">
        <x:v>181.72999572753906</x:v>
      </x:c>
      <x:c r="E70" s="30" t="n">
        <x:v>182.63999938964844</x:v>
      </x:c>
      <x:c r="F70" s="30" t="n">
        <x:v>182.4073486328125</x:v>
      </x:c>
      <x:c r="G70" s="31" t="n">
        <x:v>128544700</x:v>
      </x:c>
      <x:c r="H70" s="32" t="n">
        <x:f>F70/F69-1</x:f>
        <x:v>-0.0031656380962610253</x:v>
      </x:c>
      <x:c r="I70" s="35" t="n">
        <x:f>AVERAGE(F51:F70)</x:f>
        <x:v>183.50245742797853</x:v>
      </x:c>
      <x:c r="J70" s="35" t="n">
        <x:f>AVERAGE(F21:F70)</x:f>
        <x:v>179.33628356933593</x:v>
      </x:c>
      <x:c r="K70" s="33" t="n">
        <x:f>IF(COUNT(I70:J70)=2,IF(I70&gt;J70,1,0),0)</x:f>
        <x:v>1</x:v>
      </x:c>
      <x:c r="L70" s="33" t="n">
        <x:f>K69</x:f>
        <x:v>1</x:v>
      </x:c>
      <x:c r="M70" s="36" t="n">
        <x:f>L70*H70-IF(L70&lt;&gt;L69,'Assumptions'!$B$7+'Assumptions'!$B$8,0)</x:f>
        <x:v>-0.0031656380962610253</x:v>
      </x:c>
      <x:c r="N70" s="37" t="n">
        <x:f>N69*(1+M70)</x:f>
        <x:v>0.9724725813063416</x:v>
      </x:c>
      <x:c r="O70" s="36" t="n">
        <x:f>H70</x:f>
        <x:v>-0.0031656380962610253</x:v>
      </x:c>
      <x:c r="P70" s="37" t="n">
        <x:f>P69*(1+O70)</x:f>
        <x:v>1.0689375961489838</x:v>
      </x:c>
      <x:c r="Q70" s="34" t="n">
        <x:f>MAX(Q69,N70)</x:f>
        <x:v>1.0253452270289807</x:v>
      </x:c>
      <x:c r="R70" s="38" t="n">
        <x:f>N70/Q70-1</x:f>
        <x:v>-0.05156570131587945</x:v>
      </x:c>
      <x:c r="S70" s="39" t="n">
        <x:f>MAX(S69,P70)</x:f>
        <x:v>1.1270549764301567</x:v>
      </x:c>
      <x:c r="T70" s="38" t="n">
        <x:f>P70/S70-1</x:f>
        <x:v>-0.05156570131587945</x:v>
      </x:c>
      <x:c r="U70" s="33" t="n">
        <x:f>IF(AND(L70=1,L69=0),1,0)</x:f>
        <x:v>0</x:v>
      </x:c>
      <x:c r="V70" s="33" t="n">
        <x:f>IF(AND(L70=0,L69=1),1,0)</x:f>
        <x:v>0</x:v>
      </x:c>
      <x:c r="W70" s="33" t="n">
        <x:f>IF(L70=K69,0,1)</x:f>
        <x:v>0</x:v>
      </x:c>
    </x:row>
    <x:row r="71">
      <x:c r="A71" s="29" t="n">
        <x:v>45951.5625</x:v>
      </x:c>
      <x:c r="B71" s="30" t="n">
        <x:v>182.7899932861328</x:v>
      </x:c>
      <x:c r="C71" s="30" t="n">
        <x:v>182.7899932861328</x:v>
      </x:c>
      <x:c r="D71" s="30" t="n">
        <x:v>179.8000030517578</x:v>
      </x:c>
      <x:c r="E71" s="30" t="n">
        <x:v>181.16000366210938</x:v>
      </x:c>
      <x:c r="F71" s="30" t="n">
        <x:v>180.92922973632812</x:v>
      </x:c>
      <x:c r="G71" s="31" t="n">
        <x:v>124240200</x:v>
      </x:c>
      <x:c r="H71" s="32" t="n">
        <x:f>F71/F70-1</x:f>
        <x:v>-0.008103395546085412</x:v>
      </x:c>
      <x:c r="I71" s="35" t="n">
        <x:f>AVERAGE(F52:F71)</x:f>
        <x:v>183.63878326416017</x:v>
      </x:c>
      <x:c r="J71" s="35" t="n">
        <x:f>AVERAGE(F22:F71)</x:f>
        <x:v>179.31851165771485</x:v>
      </x:c>
      <x:c r="K71" s="33" t="n">
        <x:f>IF(COUNT(I71:J71)=2,IF(I71&gt;J71,1,0),0)</x:f>
        <x:v>1</x:v>
      </x:c>
      <x:c r="L71" s="33" t="n">
        <x:f>K70</x:f>
        <x:v>1</x:v>
      </x:c>
      <x:c r="M71" s="36" t="n">
        <x:f>L71*H71-IF(L71&lt;&gt;L70,'Assumptions'!$B$7+'Assumptions'!$B$8,0)</x:f>
        <x:v>-0.008103395546085412</x:v>
      </x:c>
      <x:c r="N71" s="37" t="n">
        <x:f>N70*(1+M71)</x:f>
        <x:v>0.9645922513222936</x:v>
      </x:c>
      <x:c r="O71" s="36" t="n">
        <x:f>H71</x:f>
        <x:v>-0.008103395546085412</x:v>
      </x:c>
      <x:c r="P71" s="37" t="n">
        <x:f>P70*(1+O71)</x:f>
        <x:v>1.0602755719933068</x:v>
      </x:c>
      <x:c r="Q71" s="34" t="n">
        <x:f>MAX(Q70,N71)</x:f>
        <x:v>1.0253452270289807</x:v>
      </x:c>
      <x:c r="R71" s="38" t="n">
        <x:f>N71/Q71-1</x:f>
        <x:v>-0.05925123958759104</x:v>
      </x:c>
      <x:c r="S71" s="39" t="n">
        <x:f>MAX(S70,P71)</x:f>
        <x:v>1.1270549764301567</x:v>
      </x:c>
      <x:c r="T71" s="38" t="n">
        <x:f>P71/S71-1</x:f>
        <x:v>-0.05925123958759104</x:v>
      </x:c>
      <x:c r="U71" s="33" t="n">
        <x:f>IF(AND(L71=1,L70=0),1,0)</x:f>
        <x:v>0</x:v>
      </x:c>
      <x:c r="V71" s="33" t="n">
        <x:f>IF(AND(L71=0,L70=1),1,0)</x:f>
        <x:v>0</x:v>
      </x:c>
      <x:c r="W71" s="33" t="n">
        <x:f>IF(L71=K70,0,1)</x:f>
        <x:v>0</x:v>
      </x:c>
    </x:row>
    <x:row r="72">
      <x:c r="A72" s="29" t="n">
        <x:v>45952.5625</x:v>
      </x:c>
      <x:c r="B72" s="30" t="n">
        <x:v>181.13999938964844</x:v>
      </x:c>
      <x:c r="C72" s="30" t="n">
        <x:v>183.44000244140625</x:v>
      </x:c>
      <x:c r="D72" s="30" t="n">
        <x:v>176.75999450683594</x:v>
      </x:c>
      <x:c r="E72" s="30" t="n">
        <x:v>180.27999877929688</x:v>
      </x:c>
      <x:c r="F72" s="30" t="n">
        <x:v>180.05035400390625</x:v>
      </x:c>
      <x:c r="G72" s="31" t="n">
        <x:v>162249600</x:v>
      </x:c>
      <x:c r="H72" s="32" t="n">
        <x:f>F72/F71-1</x:f>
        <x:v>-0.004857566318624551</x:v>
      </x:c>
      <x:c r="I72" s="35" t="n">
        <x:f>AVERAGE(F53:F72)</x:f>
        <x:v>183.80407257080077</x:v>
      </x:c>
      <x:c r="J72" s="35" t="n">
        <x:f>AVERAGE(F23:F72)</x:f>
        <x:v>179.26119110107422</x:v>
      </x:c>
      <x:c r="K72" s="33" t="n">
        <x:f>IF(COUNT(I72:J72)=2,IF(I72&gt;J72,1,0),0)</x:f>
        <x:v>1</x:v>
      </x:c>
      <x:c r="L72" s="33" t="n">
        <x:f>K71</x:f>
        <x:v>1</x:v>
      </x:c>
      <x:c r="M72" s="36" t="n">
        <x:f>L72*H72-IF(L72&lt;&gt;L71,'Assumptions'!$B$7+'Assumptions'!$B$8,0)</x:f>
        <x:v>-0.004857566318624551</x:v>
      </x:c>
      <x:c r="N72" s="37" t="n">
        <x:f>N71*(1+M72)</x:f>
        <x:v>0.9599066804910642</x:v>
      </x:c>
      <x:c r="O72" s="36" t="n">
        <x:f>H72</x:f>
        <x:v>-0.004857566318624551</x:v>
      </x:c>
      <x:c r="P72" s="37" t="n">
        <x:f>P71*(1+O72)</x:f>
        <x:v>1.0551252130863318</x:v>
      </x:c>
      <x:c r="Q72" s="34" t="n">
        <x:f>MAX(Q71,N72)</x:f>
        <x:v>1.0253452270289807</x:v>
      </x:c>
      <x:c r="R72" s="38" t="n">
        <x:f>N72/Q72-1</x:f>
        <x:v>-0.06382098908045819</x:v>
      </x:c>
      <x:c r="S72" s="39" t="n">
        <x:f>MAX(S71,P72)</x:f>
        <x:v>1.1270549764301567</x:v>
      </x:c>
      <x:c r="T72" s="38" t="n">
        <x:f>P72/S72-1</x:f>
        <x:v>-0.06382098908045808</x:v>
      </x:c>
      <x:c r="U72" s="33" t="n">
        <x:f>IF(AND(L72=1,L71=0),1,0)</x:f>
        <x:v>0</x:v>
      </x:c>
      <x:c r="V72" s="33" t="n">
        <x:f>IF(AND(L72=0,L71=1),1,0)</x:f>
        <x:v>0</x:v>
      </x:c>
      <x:c r="W72" s="33" t="n">
        <x:f>IF(L72=K71,0,1)</x:f>
        <x:v>0</x:v>
      </x:c>
    </x:row>
    <x:row r="73">
      <x:c r="A73" s="29" t="n">
        <x:v>45953.5625</x:v>
      </x:c>
      <x:c r="B73" s="30" t="n">
        <x:v>180.4199981689453</x:v>
      </x:c>
      <x:c r="C73" s="30" t="n">
        <x:v>183.02999877929688</x:v>
      </x:c>
      <x:c r="D73" s="30" t="n">
        <x:v>179.7899932861328</x:v>
      </x:c>
      <x:c r="E73" s="30" t="n">
        <x:v>182.16000366210938</x:v>
      </x:c>
      <x:c r="F73" s="30" t="n">
        <x:v>181.92796325683594</x:v>
      </x:c>
      <x:c r="G73" s="31" t="n">
        <x:v>111363700</x:v>
      </x:c>
      <x:c r="H73" s="32" t="n">
        <x:f>F73/F72-1</x:f>
        <x:v>0.010428245272369407</x:v>
      </x:c>
      <x:c r="I73" s="35" t="n">
        <x:f>AVERAGE(F54:F73)</x:f>
        <x:v>184.02728729248048</x:v>
      </x:c>
      <x:c r="J73" s="35" t="n">
        <x:f>AVERAGE(F24:F73)</x:f>
        <x:v>179.27278106689454</x:v>
      </x:c>
      <x:c r="K73" s="33" t="n">
        <x:f>IF(COUNT(I73:J73)=2,IF(I73&gt;J73,1,0),0)</x:f>
        <x:v>1</x:v>
      </x:c>
      <x:c r="L73" s="33" t="n">
        <x:f>K72</x:f>
        <x:v>1</x:v>
      </x:c>
      <x:c r="M73" s="36" t="n">
        <x:f>L73*H73-IF(L73&lt;&gt;L72,'Assumptions'!$B$7+'Assumptions'!$B$8,0)</x:f>
        <x:v>0.010428245272369407</x:v>
      </x:c>
      <x:c r="N73" s="37" t="n">
        <x:f>N72*(1+M73)</x:f>
        <x:v>0.969916822793811</x:v>
      </x:c>
      <x:c r="O73" s="36" t="n">
        <x:f>H73</x:f>
        <x:v>0.010428245272369407</x:v>
      </x:c>
      <x:c r="P73" s="37" t="n">
        <x:f>P72*(1+O73)</x:f>
        <x:v>1.066128317601457</x:v>
      </x:c>
      <x:c r="Q73" s="34" t="n">
        <x:f>MAX(Q72,N73)</x:f>
        <x:v>1.0253452270289807</x:v>
      </x:c>
      <x:c r="R73" s="38" t="n">
        <x:f>N73/Q73-1</x:f>
        <x:v>-0.05405828473574492</x:v>
      </x:c>
      <x:c r="S73" s="39" t="n">
        <x:f>MAX(S72,P73)</x:f>
        <x:v>1.1270549764301567</x:v>
      </x:c>
      <x:c r="T73" s="38" t="n">
        <x:f>P73/S73-1</x:f>
        <x:v>-0.05405828473574492</x:v>
      </x:c>
      <x:c r="U73" s="33" t="n">
        <x:f>IF(AND(L73=1,L72=0),1,0)</x:f>
        <x:v>0</x:v>
      </x:c>
      <x:c r="V73" s="33" t="n">
        <x:f>IF(AND(L73=0,L72=1),1,0)</x:f>
        <x:v>0</x:v>
      </x:c>
      <x:c r="W73" s="33" t="n">
        <x:f>IF(L73=K72,0,1)</x:f>
        <x:v>0</x:v>
      </x:c>
    </x:row>
    <x:row r="74">
      <x:c r="A74" s="29" t="n">
        <x:v>45954.5625</x:v>
      </x:c>
      <x:c r="B74" s="30" t="n">
        <x:v>183.83999633789062</x:v>
      </x:c>
      <x:c r="C74" s="30" t="n">
        <x:v>187.47000122070312</x:v>
      </x:c>
      <x:c r="D74" s="30" t="n">
        <x:v>183.5</x:v>
      </x:c>
      <x:c r="E74" s="30" t="n">
        <x:v>186.25999450683594</x:v>
      </x:c>
      <x:c r="F74" s="30" t="n">
        <x:v>186.02272033691406</x:v>
      </x:c>
      <x:c r="G74" s="31" t="n">
        <x:v>131296700</x:v>
      </x:c>
      <x:c r="H74" s="32" t="n">
        <x:f>F74/F73-1</x:f>
        <x:v>0.022507573914282597</x:v>
      </x:c>
      <x:c r="I74" s="35" t="n">
        <x:f>AVERAGE(F55:F74)</x:f>
        <x:v>184.4302719116211</x:v>
      </x:c>
      <x:c r="J74" s="35" t="n">
        <x:f>AVERAGE(F25:F74)</x:f>
        <x:v>179.35767791748046</x:v>
      </x:c>
      <x:c r="K74" s="33" t="n">
        <x:f>IF(COUNT(I74:J74)=2,IF(I74&gt;J74,1,0),0)</x:f>
        <x:v>1</x:v>
      </x:c>
      <x:c r="L74" s="33" t="n">
        <x:f>K73</x:f>
        <x:v>1</x:v>
      </x:c>
      <x:c r="M74" s="36" t="n">
        <x:f>L74*H74-IF(L74&lt;&gt;L73,'Assumptions'!$B$7+'Assumptions'!$B$8,0)</x:f>
        <x:v>0.022507573914282597</x:v>
      </x:c>
      <x:c r="N74" s="37" t="n">
        <x:f>N73*(1+M74)</x:f>
        <x:v>0.9917472973735488</x:v>
      </x:c>
      <x:c r="O74" s="36" t="n">
        <x:f>H74</x:f>
        <x:v>0.022507573914282597</x:v>
      </x:c>
      <x:c r="P74" s="37" t="n">
        <x:f>P73*(1+O74)</x:f>
        <x:v>1.0901242795119817</x:v>
      </x:c>
      <x:c r="Q74" s="34" t="n">
        <x:f>MAX(Q73,N74)</x:f>
        <x:v>1.0253452270289807</x:v>
      </x:c>
      <x:c r="R74" s="38" t="n">
        <x:f>N74/Q74-1</x:f>
        <x:v>-0.032767431660831514</x:v>
      </x:c>
      <x:c r="S74" s="39" t="n">
        <x:f>MAX(S73,P74)</x:f>
        <x:v>1.1270549764301567</x:v>
      </x:c>
      <x:c r="T74" s="38" t="n">
        <x:f>P74/S74-1</x:f>
        <x:v>-0.0327674316608314</x:v>
      </x:c>
      <x:c r="U74" s="33" t="n">
        <x:f>IF(AND(L74=1,L73=0),1,0)</x:f>
        <x:v>0</x:v>
      </x:c>
      <x:c r="V74" s="33" t="n">
        <x:f>IF(AND(L74=0,L73=1),1,0)</x:f>
        <x:v>0</x:v>
      </x:c>
      <x:c r="W74" s="33" t="n">
        <x:f>IF(L74=K73,0,1)</x:f>
        <x:v>0</x:v>
      </x:c>
    </x:row>
    <x:row r="75">
      <x:c r="A75" s="29" t="n">
        <x:v>45957.5625</x:v>
      </x:c>
      <x:c r="B75" s="30" t="n">
        <x:v>189.99000549316406</x:v>
      </x:c>
      <x:c r="C75" s="30" t="n">
        <x:v>192</x:v>
      </x:c>
      <x:c r="D75" s="30" t="n">
        <x:v>188.42999267578125</x:v>
      </x:c>
      <x:c r="E75" s="30" t="n">
        <x:v>191.49000549316406</x:v>
      </x:c>
      <x:c r="F75" s="30" t="n">
        <x:v>191.24607849121094</x:v>
      </x:c>
      <x:c r="G75" s="31" t="n">
        <x:v>153452700</x:v>
      </x:c>
      <x:c r="H75" s="32" t="n">
        <x:f>F75/F74-1</x:f>
        <x:v>0.02807914078902085</x:v>
      </x:c>
      <x:c r="I75" s="35" t="n">
        <x:f>AVERAGE(F56:F75)</x:f>
        <x:v>184.9116569519043</x:v>
      </x:c>
      <x:c r="J75" s="35" t="n">
        <x:f>AVERAGE(F26:F75)</x:f>
        <x:v>179.5783999633789</x:v>
      </x:c>
      <x:c r="K75" s="33" t="n">
        <x:f>IF(COUNT(I75:J75)=2,IF(I75&gt;J75,1,0),0)</x:f>
        <x:v>1</x:v>
      </x:c>
      <x:c r="L75" s="33" t="n">
        <x:f>K74</x:f>
        <x:v>1</x:v>
      </x:c>
      <x:c r="M75" s="36" t="n">
        <x:f>L75*H75-IF(L75&lt;&gt;L74,'Assumptions'!$B$7+'Assumptions'!$B$8,0)</x:f>
        <x:v>0.02807914078902085</x:v>
      </x:c>
      <x:c r="N75" s="37" t="n">
        <x:f>N74*(1+M75)</x:f>
        <x:v>1.0195947093636317</x:v>
      </x:c>
      <x:c r="O75" s="36" t="n">
        <x:f>H75</x:f>
        <x:v>0.02807914078902085</x:v>
      </x:c>
      <x:c r="P75" s="37" t="n">
        <x:f>P74*(1+O75)</x:f>
        <x:v>1.1207340326339286</x:v>
      </x:c>
      <x:c r="Q75" s="34" t="n">
        <x:f>MAX(Q74,N75)</x:f>
        <x:v>1.0253452270289807</x:v>
      </x:c>
      <x:c r="R75" s="38" t="n">
        <x:f>N75/Q75-1</x:f>
        <x:v>-0.005608372198709688</x:v>
      </x:c>
      <x:c r="S75" s="39" t="n">
        <x:f>MAX(S74,P75)</x:f>
        <x:v>1.1270549764301567</x:v>
      </x:c>
      <x:c r="T75" s="38" t="n">
        <x:f>P75/S75-1</x:f>
        <x:v>-0.005608372198709577</x:v>
      </x:c>
      <x:c r="U75" s="33" t="n">
        <x:f>IF(AND(L75=1,L74=0),1,0)</x:f>
        <x:v>0</x:v>
      </x:c>
      <x:c r="V75" s="33" t="n">
        <x:f>IF(AND(L75=0,L74=1),1,0)</x:f>
        <x:v>0</x:v>
      </x:c>
      <x:c r="W75" s="33" t="n">
        <x:f>IF(L75=K74,0,1)</x:f>
        <x:v>0</x:v>
      </x:c>
    </x:row>
    <x:row r="76">
      <x:c r="A76" s="29" t="n">
        <x:v>45958.5625</x:v>
      </x:c>
      <x:c r="B76" s="30" t="n">
        <x:v>193.0500030517578</x:v>
      </x:c>
      <x:c r="C76" s="30" t="n">
        <x:v>203.14999389648438</x:v>
      </x:c>
      <x:c r="D76" s="30" t="n">
        <x:v>191.91000366210938</x:v>
      </x:c>
      <x:c r="E76" s="30" t="n">
        <x:v>201.02999877929688</x:v>
      </x:c>
      <x:c r="F76" s="30" t="n">
        <x:v>200.77394104003906</x:v>
      </x:c>
      <x:c r="G76" s="31" t="n">
        <x:v>297986200</x:v>
      </x:c>
      <x:c r="H76" s="32" t="n">
        <x:f>F76/F75-1</x:f>
        <x:v>0.04981991068259206</x:v>
      </x:c>
      <x:c r="I76" s="35" t="n">
        <x:f>AVERAGE(F57:F76)</x:f>
        <x:v>185.63323745727538</x:v>
      </x:c>
      <x:c r="J76" s="35" t="n">
        <x:f>AVERAGE(F27:F76)</x:f>
        <x:v>179.95852111816407</x:v>
      </x:c>
      <x:c r="K76" s="33" t="n">
        <x:f>IF(COUNT(I76:J76)=2,IF(I76&gt;J76,1,0),0)</x:f>
        <x:v>1</x:v>
      </x:c>
      <x:c r="L76" s="33" t="n">
        <x:f>K75</x:f>
        <x:v>1</x:v>
      </x:c>
      <x:c r="M76" s="36" t="n">
        <x:f>L76*H76-IF(L76&lt;&gt;L75,'Assumptions'!$B$7+'Assumptions'!$B$8,0)</x:f>
        <x:v>0.04981991068259206</x:v>
      </x:c>
      <x:c r="N76" s="37" t="n">
        <x:f>N75*(1+M76)</x:f>
        <x:v>1.0703908267165714</x:v>
      </x:c>
      <x:c r="O76" s="36" t="n">
        <x:f>H76</x:f>
        <x:v>0.04981991068259206</x:v>
      </x:c>
      <x:c r="P76" s="37" t="n">
        <x:f>P75*(1+O76)</x:f>
        <x:v>1.176568902038692</x:v>
      </x:c>
      <x:c r="Q76" s="34" t="n">
        <x:f>MAX(Q75,N76)</x:f>
        <x:v>1.0703908267165714</x:v>
      </x:c>
      <x:c r="R76" s="38" t="n">
        <x:f>N76/Q76-1</x:f>
        <x:v>0</x:v>
      </x:c>
      <x:c r="S76" s="39" t="n">
        <x:f>MAX(S75,P76)</x:f>
        <x:v>1.176568902038692</x:v>
      </x:c>
      <x:c r="T76" s="38" t="n">
        <x:f>P76/S76-1</x:f>
        <x:v>0</x:v>
      </x:c>
      <x:c r="U76" s="33" t="n">
        <x:f>IF(AND(L76=1,L75=0),1,0)</x:f>
        <x:v>0</x:v>
      </x:c>
      <x:c r="V76" s="33" t="n">
        <x:f>IF(AND(L76=0,L75=1),1,0)</x:f>
        <x:v>0</x:v>
      </x:c>
      <x:c r="W76" s="33" t="n">
        <x:f>IF(L76=K75,0,1)</x:f>
        <x:v>0</x:v>
      </x:c>
    </x:row>
    <x:row r="77">
      <x:c r="A77" s="29" t="n">
        <x:v>45959.5625</x:v>
      </x:c>
      <x:c r="B77" s="30" t="n">
        <x:v>207.97999572753906</x:v>
      </x:c>
      <x:c r="C77" s="30" t="n">
        <x:v>212.19000244140625</x:v>
      </x:c>
      <x:c r="D77" s="30" t="n">
        <x:v>204.77999877929688</x:v>
      </x:c>
      <x:c r="E77" s="30" t="n">
        <x:v>207.0399932861328</x:v>
      </x:c>
      <x:c r="F77" s="30" t="n">
        <x:v>206.77627563476562</x:v>
      </x:c>
      <x:c r="G77" s="31" t="n">
        <x:v>308829600</x:v>
      </x:c>
      <x:c r="H77" s="32" t="n">
        <x:f>F77/F76-1</x:f>
        <x:v>0.0298959843276152</x:v>
      </x:c>
      <x:c r="I77" s="35" t="n">
        <x:f>AVERAGE(F58:F77)</x:f>
        <x:v>186.62197647094726</x:v>
      </x:c>
      <x:c r="J77" s="35" t="n">
        <x:f>AVERAGE(F28:F77)</x:f>
        <x:v>180.58591918945314</x:v>
      </x:c>
      <x:c r="K77" s="33" t="n">
        <x:f>IF(COUNT(I77:J77)=2,IF(I77&gt;J77,1,0),0)</x:f>
        <x:v>1</x:v>
      </x:c>
      <x:c r="L77" s="33" t="n">
        <x:f>K76</x:f>
        <x:v>1</x:v>
      </x:c>
      <x:c r="M77" s="36" t="n">
        <x:f>L77*H77-IF(L77&lt;&gt;L76,'Assumptions'!$B$7+'Assumptions'!$B$8,0)</x:f>
        <x:v>0.0298959843276152</x:v>
      </x:c>
      <x:c r="N77" s="37" t="n">
        <x:f>N76*(1+M77)</x:f>
        <x:v>1.102391214096513</x:v>
      </x:c>
      <x:c r="O77" s="36" t="n">
        <x:f>H77</x:f>
        <x:v>0.0298959843276152</x:v>
      </x:c>
      <x:c r="P77" s="37" t="n">
        <x:f>P76*(1+O77)</x:f>
        <x:v>1.2117435874944003</x:v>
      </x:c>
      <x:c r="Q77" s="34" t="n">
        <x:f>MAX(Q76,N77)</x:f>
        <x:v>1.102391214096513</x:v>
      </x:c>
      <x:c r="R77" s="38" t="n">
        <x:f>N77/Q77-1</x:f>
        <x:v>0</x:v>
      </x:c>
      <x:c r="S77" s="39" t="n">
        <x:f>MAX(S76,P77)</x:f>
        <x:v>1.2117435874944003</x:v>
      </x:c>
      <x:c r="T77" s="38" t="n">
        <x:f>P77/S77-1</x:f>
        <x:v>0</x:v>
      </x:c>
      <x:c r="U77" s="33" t="n">
        <x:f>IF(AND(L77=1,L76=0),1,0)</x:f>
        <x:v>0</x:v>
      </x:c>
      <x:c r="V77" s="33" t="n">
        <x:f>IF(AND(L77=0,L76=1),1,0)</x:f>
        <x:v>0</x:v>
      </x:c>
      <x:c r="W77" s="33" t="n">
        <x:f>IF(L77=K76,0,1)</x:f>
        <x:v>0</x:v>
      </x:c>
    </x:row>
    <x:row r="78">
      <x:c r="A78" s="29" t="n">
        <x:v>45960.5625</x:v>
      </x:c>
      <x:c r="B78" s="30" t="n">
        <x:v>205.14999389648438</x:v>
      </x:c>
      <x:c r="C78" s="30" t="n">
        <x:v>206.16000366210938</x:v>
      </x:c>
      <x:c r="D78" s="30" t="n">
        <x:v>201.41000366210938</x:v>
      </x:c>
      <x:c r="E78" s="30" t="n">
        <x:v>202.88999938964844</x:v>
      </x:c>
      <x:c r="F78" s="30" t="n">
        <x:v>202.63156127929688</x:v>
      </x:c>
      <x:c r="G78" s="31" t="n">
        <x:v>178864400</x:v>
      </x:c>
      <x:c r="H78" s="32" t="n">
        <x:f>F78/F77-1</x:f>
        <x:v>-0.020044438573744605</x:v>
      </x:c>
      <x:c r="I78" s="35" t="n">
        <x:f>AVERAGE(F59:F78)</x:f>
        <x:v>187.32108459472656</x:v>
      </x:c>
      <x:c r="J78" s="35" t="n">
        <x:f>AVERAGE(F29:F78)</x:f>
        <x:v>181.1352166748047</x:v>
      </x:c>
      <x:c r="K78" s="33" t="n">
        <x:f>IF(COUNT(I78:J78)=2,IF(I78&gt;J78,1,0),0)</x:f>
        <x:v>1</x:v>
      </x:c>
      <x:c r="L78" s="33" t="n">
        <x:f>K77</x:f>
        <x:v>1</x:v>
      </x:c>
      <x:c r="M78" s="36" t="n">
        <x:f>L78*H78-IF(L78&lt;&gt;L77,'Assumptions'!$B$7+'Assumptions'!$B$8,0)</x:f>
        <x:v>-0.020044438573744605</x:v>
      </x:c>
      <x:c r="N78" s="37" t="n">
        <x:f>N77*(1+M78)</x:f>
        <x:v>1.0802944011213198</x:v>
      </x:c>
      <x:c r="O78" s="36" t="n">
        <x:f>H78</x:f>
        <x:v>-0.020044438573744605</x:v>
      </x:c>
      <x:c r="P78" s="37" t="n">
        <x:f>P77*(1+O78)</x:f>
        <x:v>1.1874548675877399</x:v>
      </x:c>
      <x:c r="Q78" s="34" t="n">
        <x:f>MAX(Q77,N78)</x:f>
        <x:v>1.102391214096513</x:v>
      </x:c>
      <x:c r="R78" s="38" t="n">
        <x:f>N78/Q78-1</x:f>
        <x:v>-0.020044438573744605</x:v>
      </x:c>
      <x:c r="S78" s="39" t="n">
        <x:f>MAX(S77,P78)</x:f>
        <x:v>1.2117435874944003</x:v>
      </x:c>
      <x:c r="T78" s="38" t="n">
        <x:f>P78/S78-1</x:f>
        <x:v>-0.020044438573744605</x:v>
      </x:c>
      <x:c r="U78" s="33" t="n">
        <x:f>IF(AND(L78=1,L77=0),1,0)</x:f>
        <x:v>0</x:v>
      </x:c>
      <x:c r="V78" s="33" t="n">
        <x:f>IF(AND(L78=0,L77=1),1,0)</x:f>
        <x:v>0</x:v>
      </x:c>
      <x:c r="W78" s="33" t="n">
        <x:f>IF(L78=K77,0,1)</x:f>
        <x:v>0</x:v>
      </x:c>
    </x:row>
    <x:row r="79">
      <x:c r="A79" s="29" t="n">
        <x:v>45961.5625</x:v>
      </x:c>
      <x:c r="B79" s="30" t="n">
        <x:v>206.4499969482422</x:v>
      </x:c>
      <x:c r="C79" s="30" t="n">
        <x:v>207.97000122070312</x:v>
      </x:c>
      <x:c r="D79" s="30" t="n">
        <x:v>202.07000732421875</x:v>
      </x:c>
      <x:c r="E79" s="30" t="n">
        <x:v>202.49000549316406</x:v>
      </x:c>
      <x:c r="F79" s="30" t="n">
        <x:v>202.23207092285156</x:v>
      </x:c>
      <x:c r="G79" s="31" t="n">
        <x:v>179802200</x:v>
      </x:c>
      <x:c r="H79" s="32" t="n">
        <x:f>F79/F78-1</x:f>
        <x:v>-0.0019715110218919696</x:v>
      </x:c>
      <x:c r="I79" s="35" t="n">
        <x:f>AVERAGE(F60:F79)</x:f>
        <x:v>188.06363754272462</x:v>
      </x:c>
      <x:c r="J79" s="35" t="n">
        <x:f>AVERAGE(F30:F79)</x:f>
        <x:v>181.68491333007813</x:v>
      </x:c>
      <x:c r="K79" s="33" t="n">
        <x:f>IF(COUNT(I79:J79)=2,IF(I79&gt;J79,1,0),0)</x:f>
        <x:v>1</x:v>
      </x:c>
      <x:c r="L79" s="33" t="n">
        <x:f>K78</x:f>
        <x:v>1</x:v>
      </x:c>
      <x:c r="M79" s="36" t="n">
        <x:f>L79*H79-IF(L79&lt;&gt;L78,'Assumptions'!$B$7+'Assumptions'!$B$8,0)</x:f>
        <x:v>-0.0019715110218919696</x:v>
      </x:c>
      <x:c r="N79" s="37" t="n">
        <x:f>N78*(1+M79)</x:f>
        <x:v>1.078164588802621</x:v>
      </x:c>
      <x:c r="O79" s="36" t="n">
        <x:f>H79</x:f>
        <x:v>-0.0019715110218919696</x:v>
      </x:c>
      <x:c r="P79" s="37" t="n">
        <x:f>P78*(1+O79)</x:f>
        <x:v>1.1851137872282913</x:v>
      </x:c>
      <x:c r="Q79" s="34" t="n">
        <x:f>MAX(Q78,N79)</x:f>
        <x:v>1.102391214096513</x:v>
      </x:c>
      <x:c r="R79" s="38" t="n">
        <x:f>N79/Q79-1</x:f>
        <x:v>-0.021976431764060722</x:v>
      </x:c>
      <x:c r="S79" s="39" t="n">
        <x:f>MAX(S78,P79)</x:f>
        <x:v>1.2117435874944003</x:v>
      </x:c>
      <x:c r="T79" s="38" t="n">
        <x:f>P79/S79-1</x:f>
        <x:v>-0.021976431764060833</x:v>
      </x:c>
      <x:c r="U79" s="33" t="n">
        <x:f>IF(AND(L79=1,L78=0),1,0)</x:f>
        <x:v>0</x:v>
      </x:c>
      <x:c r="V79" s="33" t="n">
        <x:f>IF(AND(L79=0,L78=1),1,0)</x:f>
        <x:v>0</x:v>
      </x:c>
      <x:c r="W79" s="33" t="n">
        <x:f>IF(L79=K78,0,1)</x:f>
        <x:v>0</x:v>
      </x:c>
    </x:row>
    <x:row r="80">
      <x:c r="A80" s="29" t="n">
        <x:v>45964.604166666664</x:v>
      </x:c>
      <x:c r="B80" s="30" t="n">
        <x:v>208.0800018310547</x:v>
      </x:c>
      <x:c r="C80" s="30" t="n">
        <x:v>211.33999633789062</x:v>
      </x:c>
      <x:c r="D80" s="30" t="n">
        <x:v>205.55999755859375</x:v>
      </x:c>
      <x:c r="E80" s="30" t="n">
        <x:v>206.8800048828125</x:v>
      </x:c>
      <x:c r="F80" s="30" t="n">
        <x:v>206.61647033691406</x:v>
      </x:c>
      <x:c r="G80" s="31" t="n">
        <x:v>180267300</x:v>
      </x:c>
      <x:c r="H80" s="32" t="n">
        <x:f>F80/F79-1</x:f>
        <x:v>0.021680040134361755</x:v>
      </x:c>
      <x:c r="I80" s="35" t="n">
        <x:f>AVERAGE(F61:F80)</x:f>
        <x:v>189.12927856445313</x:v>
      </x:c>
      <x:c r="J80" s="35" t="n">
        <x:f>AVERAGE(F31:F80)</x:f>
        <x:v>182.26217742919923</x:v>
      </x:c>
      <x:c r="K80" s="33" t="n">
        <x:f>IF(COUNT(I80:J80)=2,IF(I80&gt;J80,1,0),0)</x:f>
        <x:v>1</x:v>
      </x:c>
      <x:c r="L80" s="33" t="n">
        <x:f>K79</x:f>
        <x:v>1</x:v>
      </x:c>
      <x:c r="M80" s="36" t="n">
        <x:f>L80*H80-IF(L80&lt;&gt;L79,'Assumptions'!$B$7+'Assumptions'!$B$8,0)</x:f>
        <x:v>0.021680040134361755</x:v>
      </x:c>
      <x:c r="N80" s="37" t="n">
        <x:f>N79*(1+M80)</x:f>
        <x:v>1.1015392403593094</x:v>
      </x:c>
      <x:c r="O80" s="36" t="n">
        <x:f>H80</x:f>
        <x:v>0.021680040134361755</x:v>
      </x:c>
      <x:c r="P80" s="37" t="n">
        <x:f>P79*(1+O80)</x:f>
        <x:v>1.2108071016991862</x:v>
      </x:c>
      <x:c r="Q80" s="34" t="n">
        <x:f>MAX(Q79,N80)</x:f>
        <x:v>1.102391214096513</x:v>
      </x:c>
      <x:c r="R80" s="38" t="n">
        <x:f>N80/Q80-1</x:f>
        <x:v>-0.0007728415523539089</x:v>
      </x:c>
      <x:c r="S80" s="39" t="n">
        <x:f>MAX(S79,P80)</x:f>
        <x:v>1.2117435874944003</x:v>
      </x:c>
      <x:c r="T80" s="38" t="n">
        <x:f>P80/S80-1</x:f>
        <x:v>-0.0007728415523539089</x:v>
      </x:c>
      <x:c r="U80" s="33" t="n">
        <x:f>IF(AND(L80=1,L79=0),1,0)</x:f>
        <x:v>0</x:v>
      </x:c>
      <x:c r="V80" s="33" t="n">
        <x:f>IF(AND(L80=0,L79=1),1,0)</x:f>
        <x:v>0</x:v>
      </x:c>
      <x:c r="W80" s="33" t="n">
        <x:f>IF(L80=K79,0,1)</x:f>
        <x:v>0</x:v>
      </x:c>
    </x:row>
    <x:row r="81">
      <x:c r="A81" s="29" t="n">
        <x:v>45965.604166666664</x:v>
      </x:c>
      <x:c r="B81" s="30" t="n">
        <x:v>203</x:v>
      </x:c>
      <x:c r="C81" s="30" t="n">
        <x:v>203.97000122070312</x:v>
      </x:c>
      <x:c r="D81" s="30" t="n">
        <x:v>197.92999267578125</x:v>
      </x:c>
      <x:c r="E81" s="30" t="n">
        <x:v>198.69000244140625</x:v>
      </x:c>
      <x:c r="F81" s="30" t="n">
        <x:v>198.43690490722656</x:v>
      </x:c>
      <x:c r="G81" s="31" t="n">
        <x:v>188919300</x:v>
      </x:c>
      <x:c r="H81" s="32" t="n">
        <x:f>F81/F80-1</x:f>
        <x:v>-0.03958815778988811</x:v>
      </x:c>
      <x:c r="I81" s="35" t="n">
        <x:f>AVERAGE(F62:F81)</x:f>
        <x:v>189.81090927124023</x:v>
      </x:c>
      <x:c r="J81" s="35" t="n">
        <x:f>AVERAGE(F32:F81)</x:f>
        <x:v>182.63949890136718</x:v>
      </x:c>
      <x:c r="K81" s="33" t="n">
        <x:f>IF(COUNT(I81:J81)=2,IF(I81&gt;J81,1,0),0)</x:f>
        <x:v>1</x:v>
      </x:c>
      <x:c r="L81" s="33" t="n">
        <x:f>K80</x:f>
        <x:v>1</x:v>
      </x:c>
      <x:c r="M81" s="36" t="n">
        <x:f>L81*H81-IF(L81&lt;&gt;L80,'Assumptions'!$B$7+'Assumptions'!$B$8,0)</x:f>
        <x:v>-0.03958815778988811</x:v>
      </x:c>
      <x:c r="N81" s="37" t="n">
        <x:f>N80*(1+M81)</x:f>
        <x:v>1.0579313311002116</x:v>
      </x:c>
      <x:c r="O81" s="36" t="n">
        <x:f>H81</x:f>
        <x:v>-0.03958815778988811</x:v>
      </x:c>
      <x:c r="P81" s="37" t="n">
        <x:f>P80*(1+O81)</x:f>
        <x:v>1.1628734791040016</x:v>
      </x:c>
      <x:c r="Q81" s="34" t="n">
        <x:f>MAX(Q80,N81)</x:f>
        <x:v>1.102391214096513</x:v>
      </x:c>
      <x:c r="R81" s="38" t="n">
        <x:f>N81/Q81-1</x:f>
        <x:v>-0.04033040396892085</x:v>
      </x:c>
      <x:c r="S81" s="39" t="n">
        <x:f>MAX(S80,P81)</x:f>
        <x:v>1.2117435874944003</x:v>
      </x:c>
      <x:c r="T81" s="38" t="n">
        <x:f>P81/S81-1</x:f>
        <x:v>-0.04033040396892096</x:v>
      </x:c>
      <x:c r="U81" s="33" t="n">
        <x:f>IF(AND(L81=1,L80=0),1,0)</x:f>
        <x:v>0</x:v>
      </x:c>
      <x:c r="V81" s="33" t="n">
        <x:f>IF(AND(L81=0,L80=1),1,0)</x:f>
        <x:v>0</x:v>
      </x:c>
      <x:c r="W81" s="33" t="n">
        <x:f>IF(L81=K80,0,1)</x:f>
        <x:v>0</x:v>
      </x:c>
    </x:row>
    <x:row r="82">
      <x:c r="A82" s="29" t="n">
        <x:v>45966.604166666664</x:v>
      </x:c>
      <x:c r="B82" s="30" t="n">
        <x:v>198.77000427246094</x:v>
      </x:c>
      <x:c r="C82" s="30" t="n">
        <x:v>202.9199981689453</x:v>
      </x:c>
      <x:c r="D82" s="30" t="n">
        <x:v>194.64999389648438</x:v>
      </x:c>
      <x:c r="E82" s="30" t="n">
        <x:v>195.2100067138672</x:v>
      </x:c>
      <x:c r="F82" s="30" t="n">
        <x:v>194.9613494873047</x:v>
      </x:c>
      <x:c r="G82" s="31" t="n">
        <x:v>171350300</x:v>
      </x:c>
      <x:c r="H82" s="32" t="n">
        <x:f>F82/F81-1</x:f>
        <x:v>-0.01751466251475131</x:v>
      </x:c>
      <x:c r="I82" s="35" t="n">
        <x:f>AVERAGE(F63:F82)</x:f>
        <x:v>190.1155212402344</x:v>
      </x:c>
      <x:c r="J82" s="35" t="n">
        <x:f>AVERAGE(F33:F82)</x:f>
        <x:v>182.90816131591797</x:v>
      </x:c>
      <x:c r="K82" s="33" t="n">
        <x:f>IF(COUNT(I82:J82)=2,IF(I82&gt;J82,1,0),0)</x:f>
        <x:v>1</x:v>
      </x:c>
      <x:c r="L82" s="33" t="n">
        <x:f>K81</x:f>
        <x:v>1</x:v>
      </x:c>
      <x:c r="M82" s="36" t="n">
        <x:f>L82*H82-IF(L82&lt;&gt;L81,'Assumptions'!$B$7+'Assumptions'!$B$8,0)</x:f>
        <x:v>-0.01751466251475131</x:v>
      </x:c>
      <x:c r="N82" s="37" t="n">
        <x:f>N81*(1+M82)</x:f>
        <x:v>1.03940202087221</x:v>
      </x:c>
      <x:c r="O82" s="36" t="n">
        <x:f>H82</x:f>
        <x:v>-0.01751466251475131</x:v>
      </x:c>
      <x:c r="P82" s="37" t="n">
        <x:f>P81*(1+O82)</x:f>
        <x:v>1.1425061425701404</x:v>
      </x:c>
      <x:c r="Q82" s="34" t="n">
        <x:f>MAX(Q81,N82)</x:f>
        <x:v>1.102391214096513</x:v>
      </x:c>
      <x:c r="R82" s="38" t="n">
        <x:f>N82/Q82-1</x:f>
        <x:v>-0.05713869306907282</x:v>
      </x:c>
      <x:c r="S82" s="39" t="n">
        <x:f>MAX(S81,P82)</x:f>
        <x:v>1.2117435874944003</x:v>
      </x:c>
      <x:c r="T82" s="38" t="n">
        <x:f>P82/S82-1</x:f>
        <x:v>-0.05713869306907293</x:v>
      </x:c>
      <x:c r="U82" s="33" t="n">
        <x:f>IF(AND(L82=1,L81=0),1,0)</x:f>
        <x:v>0</x:v>
      </x:c>
      <x:c r="V82" s="33" t="n">
        <x:f>IF(AND(L82=0,L81=1),1,0)</x:f>
        <x:v>0</x:v>
      </x:c>
      <x:c r="W82" s="33" t="n">
        <x:f>IF(L82=K81,0,1)</x:f>
        <x:v>0</x:v>
      </x:c>
    </x:row>
    <x:row r="83">
      <x:c r="A83" s="29" t="n">
        <x:v>45967.604166666664</x:v>
      </x:c>
      <x:c r="B83" s="30" t="n">
        <x:v>196.4199981689453</x:v>
      </x:c>
      <x:c r="C83" s="30" t="n">
        <x:v>197.6199951171875</x:v>
      </x:c>
      <x:c r="D83" s="30" t="n">
        <x:v>186.3800048828125</x:v>
      </x:c>
      <x:c r="E83" s="30" t="n">
        <x:v>188.0800018310547</x:v>
      </x:c>
      <x:c r="F83" s="30" t="n">
        <x:v>187.84042358398438</x:v>
      </x:c>
      <x:c r="G83" s="31" t="n">
        <x:v>223029800</x:v>
      </x:c>
      <x:c r="H83" s="32" t="n">
        <x:f>F83/F82-1</x:f>
        <x:v>-0.03652480823530613</x:v>
      </x:c>
      <x:c r="I83" s="35" t="n">
        <x:f>AVERAGE(F64:F83)</x:f>
        <x:v>189.89130706787108</x:v>
      </x:c>
      <x:c r="J83" s="35" t="n">
        <x:f>AVERAGE(F34:F83)</x:f>
        <x:v>183.03780059814454</x:v>
      </x:c>
      <x:c r="K83" s="33" t="n">
        <x:f>IF(COUNT(I83:J83)=2,IF(I83&gt;J83,1,0),0)</x:f>
        <x:v>1</x:v>
      </x:c>
      <x:c r="L83" s="33" t="n">
        <x:f>K82</x:f>
        <x:v>1</x:v>
      </x:c>
      <x:c r="M83" s="36" t="n">
        <x:f>L83*H83-IF(L83&lt;&gt;L82,'Assumptions'!$B$7+'Assumptions'!$B$8,0)</x:f>
        <x:v>-0.03652480823530613</x:v>
      </x:c>
      <x:c r="N83" s="37" t="n">
        <x:f>N82*(1+M83)</x:f>
        <x:v>1.0014380613804628</x:v>
      </x:c>
      <x:c r="O83" s="36" t="n">
        <x:f>H83</x:f>
        <x:v>-0.03652480823530613</x:v>
      </x:c>
      <x:c r="P83" s="37" t="n">
        <x:f>P82*(1+O83)</x:f>
        <x:v>1.1007763248051068</x:v>
      </x:c>
      <x:c r="Q83" s="34" t="n">
        <x:f>MAX(Q82,N83)</x:f>
        <x:v>1.102391214096513</x:v>
      </x:c>
      <x:c r="R83" s="38" t="n">
        <x:f>N83/Q83-1</x:f>
        <x:v>-0.09157652149721507</x:v>
      </x:c>
      <x:c r="S83" s="39" t="n">
        <x:f>MAX(S82,P83)</x:f>
        <x:v>1.2117435874944003</x:v>
      </x:c>
      <x:c r="T83" s="38" t="n">
        <x:f>P83/S83-1</x:f>
        <x:v>-0.09157652149721507</x:v>
      </x:c>
      <x:c r="U83" s="33" t="n">
        <x:f>IF(AND(L83=1,L82=0),1,0)</x:f>
        <x:v>0</x:v>
      </x:c>
      <x:c r="V83" s="33" t="n">
        <x:f>IF(AND(L83=0,L82=1),1,0)</x:f>
        <x:v>0</x:v>
      </x:c>
      <x:c r="W83" s="33" t="n">
        <x:f>IF(L83=K82,0,1)</x:f>
        <x:v>0</x:v>
      </x:c>
    </x:row>
    <x:row r="84">
      <x:c r="A84" s="29" t="n">
        <x:v>45968.604166666664</x:v>
      </x:c>
      <x:c r="B84" s="30" t="n">
        <x:v>184.89999389648438</x:v>
      </x:c>
      <x:c r="C84" s="30" t="n">
        <x:v>188.32000732421875</x:v>
      </x:c>
      <x:c r="D84" s="30" t="n">
        <x:v>178.91000366210938</x:v>
      </x:c>
      <x:c r="E84" s="30" t="n">
        <x:v>188.14999389648438</x:v>
      </x:c>
      <x:c r="F84" s="30" t="n">
        <x:v>187.91033935546875</x:v>
      </x:c>
      <x:c r="G84" s="31" t="n">
        <x:v>264942300</x:v>
      </x:c>
      <x:c r="H84" s="32" t="n">
        <x:f>F84/F83-1</x:f>
        <x:v>0.00037220833593964997</x:v>
      </x:c>
      <x:c r="I84" s="35" t="n">
        <x:f>AVERAGE(F65:F84)</x:f>
        <x:v>190.14048919677734</x:v>
      </x:c>
      <x:c r="J84" s="35" t="n">
        <x:f>AVERAGE(F35:F84)</x:f>
        <x:v>183.19740020751954</x:v>
      </x:c>
      <x:c r="K84" s="33" t="n">
        <x:f>IF(COUNT(I84:J84)=2,IF(I84&gt;J84,1,0),0)</x:f>
        <x:v>1</x:v>
      </x:c>
      <x:c r="L84" s="33" t="n">
        <x:f>K83</x:f>
        <x:v>1</x:v>
      </x:c>
      <x:c r="M84" s="36" t="n">
        <x:f>L84*H84-IF(L84&lt;&gt;L83,'Assumptions'!$B$7+'Assumptions'!$B$8,0)</x:f>
        <x:v>0.00037220833593964997</x:v>
      </x:c>
      <x:c r="N84" s="37" t="n">
        <x:f>N83*(1+M84)</x:f>
        <x:v>1.0018108049748358</x:v>
      </x:c>
      <x:c r="O84" s="36" t="n">
        <x:f>H84</x:f>
        <x:v>0.00037220833593964997</x:v>
      </x:c>
      <x:c r="P84" s="37" t="n">
        <x:f>P83*(1+O84)</x:f>
        <x:v>1.1011860429292042</x:v>
      </x:c>
      <x:c r="Q84" s="34" t="n">
        <x:f>MAX(Q83,N84)</x:f>
        <x:v>1.102391214096513</x:v>
      </x:c>
      <x:c r="R84" s="38" t="n">
        <x:f>N84/Q84-1</x:f>
        <x:v>-0.09123839870595307</x:v>
      </x:c>
      <x:c r="S84" s="39" t="n">
        <x:f>MAX(S83,P84)</x:f>
        <x:v>1.2117435874944003</x:v>
      </x:c>
      <x:c r="T84" s="38" t="n">
        <x:f>P84/S84-1</x:f>
        <x:v>-0.09123839870595307</x:v>
      </x:c>
      <x:c r="U84" s="33" t="n">
        <x:f>IF(AND(L84=1,L83=0),1,0)</x:f>
        <x:v>0</x:v>
      </x:c>
      <x:c r="V84" s="33" t="n">
        <x:f>IF(AND(L84=0,L83=1),1,0)</x:f>
        <x:v>0</x:v>
      </x:c>
      <x:c r="W84" s="33" t="n">
        <x:f>IF(L84=K83,0,1)</x:f>
        <x:v>0</x:v>
      </x:c>
    </x:row>
    <x:row r="85">
      <x:c r="A85" s="29" t="n">
        <x:v>45971.604166666664</x:v>
      </x:c>
      <x:c r="B85" s="30" t="n">
        <x:v>195.11000061035156</x:v>
      </x:c>
      <x:c r="C85" s="30" t="n">
        <x:v>199.94000244140625</x:v>
      </x:c>
      <x:c r="D85" s="30" t="n">
        <x:v>193.7899932861328</x:v>
      </x:c>
      <x:c r="E85" s="30" t="n">
        <x:v>199.0500030517578</x:v>
      </x:c>
      <x:c r="F85" s="30" t="n">
        <x:v>198.7964630126953</x:v>
      </x:c>
      <x:c r="G85" s="31" t="n">
        <x:v>198897100</x:v>
      </x:c>
      <x:c r="H85" s="32" t="n">
        <x:f>F85/F84-1</x:f>
        <x:v>0.05793254216114918</x:v>
      </x:c>
      <x:c r="I85" s="35" t="n">
        <x:f>AVERAGE(F66:F85)</x:f>
        <x:v>190.67630615234376</x:v>
      </x:c>
      <x:c r="J85" s="35" t="n">
        <x:f>AVERAGE(F36:F85)</x:f>
        <x:v>183.69436340332032</x:v>
      </x:c>
      <x:c r="K85" s="33" t="n">
        <x:f>IF(COUNT(I85:J85)=2,IF(I85&gt;J85,1,0),0)</x:f>
        <x:v>1</x:v>
      </x:c>
      <x:c r="L85" s="33" t="n">
        <x:f>K84</x:f>
        <x:v>1</x:v>
      </x:c>
      <x:c r="M85" s="36" t="n">
        <x:f>L85*H85-IF(L85&lt;&gt;L84,'Assumptions'!$B$7+'Assumptions'!$B$8,0)</x:f>
        <x:v>0.05793254216114918</x:v>
      </x:c>
      <x:c r="N85" s="37" t="n">
        <x:f>N84*(1+M85)</x:f>
        <x:v>1.0598482516715353</x:v>
      </x:c>
      <x:c r="O85" s="36" t="n">
        <x:f>H85</x:f>
        <x:v>0.05793254216114918</x:v>
      </x:c>
      <x:c r="P85" s="37" t="n">
        <x:f>P84*(1+O85)</x:f>
        <x:v>1.1649805497884693</x:v>
      </x:c>
      <x:c r="Q85" s="34" t="n">
        <x:f>MAX(Q84,N85)</x:f>
        <x:v>1.102391214096513</x:v>
      </x:c>
      <x:c r="R85" s="38" t="n">
        <x:f>N85/Q85-1</x:f>
        <x:v>-0.0385915289245522</x:v>
      </x:c>
      <x:c r="S85" s="39" t="n">
        <x:f>MAX(S84,P85)</x:f>
        <x:v>1.2117435874944003</x:v>
      </x:c>
      <x:c r="T85" s="38" t="n">
        <x:f>P85/S85-1</x:f>
        <x:v>-0.03859152892455231</x:v>
      </x:c>
      <x:c r="U85" s="33" t="n">
        <x:f>IF(AND(L85=1,L84=0),1,0)</x:f>
        <x:v>0</x:v>
      </x:c>
      <x:c r="V85" s="33" t="n">
        <x:f>IF(AND(L85=0,L84=1),1,0)</x:f>
        <x:v>0</x:v>
      </x:c>
      <x:c r="W85" s="33" t="n">
        <x:f>IF(L85=K84,0,1)</x:f>
        <x:v>0</x:v>
      </x:c>
    </x:row>
    <x:row r="86">
      <x:c r="A86" s="29" t="n">
        <x:v>45972.604166666664</x:v>
      </x:c>
      <x:c r="B86" s="30" t="n">
        <x:v>195.16000366210938</x:v>
      </x:c>
      <x:c r="C86" s="30" t="n">
        <x:v>195.4199981689453</x:v>
      </x:c>
      <x:c r="D86" s="30" t="n">
        <x:v>191.3000030517578</x:v>
      </x:c>
      <x:c r="E86" s="30" t="n">
        <x:v>193.16000366210938</x:v>
      </x:c>
      <x:c r="F86" s="30" t="n">
        <x:v>192.91395568847656</x:v>
      </x:c>
      <x:c r="G86" s="31" t="n">
        <x:v>176483300</x:v>
      </x:c>
      <x:c r="H86" s="32" t="n">
        <x:f>F86/F85-1</x:f>
        <x:v>-0.029590603550341266</x:v>
      </x:c>
      <x:c r="I86" s="35" t="n">
        <x:f>AVERAGE(F67:F86)</x:f>
        <x:v>191.33197097778321</x:v>
      </x:c>
      <x:c r="J86" s="35" t="n">
        <x:f>AVERAGE(F37:F86)</x:f>
        <x:v>184.1415856933594</x:v>
      </x:c>
      <x:c r="K86" s="33" t="n">
        <x:f>IF(COUNT(I86:J86)=2,IF(I86&gt;J86,1,0),0)</x:f>
        <x:v>1</x:v>
      </x:c>
      <x:c r="L86" s="33" t="n">
        <x:f>K85</x:f>
        <x:v>1</x:v>
      </x:c>
      <x:c r="M86" s="36" t="n">
        <x:f>L86*H86-IF(L86&lt;&gt;L85,'Assumptions'!$B$7+'Assumptions'!$B$8,0)</x:f>
        <x:v>-0.029590603550341266</x:v>
      </x:c>
      <x:c r="N86" s="37" t="n">
        <x:f>N85*(1+M86)</x:f>
        <x:v>1.0284867022328006</x:v>
      </x:c>
      <x:c r="O86" s="36" t="n">
        <x:f>H86</x:f>
        <x:v>-0.029590603550341266</x:v>
      </x:c>
      <x:c r="P86" s="37" t="n">
        <x:f>P85*(1+O86)</x:f>
        <x:v>1.13050807219582</x:v>
      </x:c>
      <x:c r="Q86" s="34" t="n">
        <x:f>MAX(Q85,N86)</x:f>
        <x:v>1.102391214096513</x:v>
      </x:c>
      <x:c r="R86" s="38" t="n">
        <x:f>N86/Q86-1</x:f>
        <x:v>-0.06704018584208549</x:v>
      </x:c>
      <x:c r="S86" s="39" t="n">
        <x:f>MAX(S85,P86)</x:f>
        <x:v>1.2117435874944003</x:v>
      </x:c>
      <x:c r="T86" s="38" t="n">
        <x:f>P86/S86-1</x:f>
        <x:v>-0.06704018584208571</x:v>
      </x:c>
      <x:c r="U86" s="33" t="n">
        <x:f>IF(AND(L86=1,L85=0),1,0)</x:f>
        <x:v>0</x:v>
      </x:c>
      <x:c r="V86" s="33" t="n">
        <x:f>IF(AND(L86=0,L85=1),1,0)</x:f>
        <x:v>0</x:v>
      </x:c>
      <x:c r="W86" s="33" t="n">
        <x:f>IF(L86=K85,0,1)</x:f>
        <x:v>0</x:v>
      </x:c>
    </x:row>
    <x:row r="87">
      <x:c r="A87" s="29" t="n">
        <x:v>45973.604166666664</x:v>
      </x:c>
      <x:c r="B87" s="30" t="n">
        <x:v>195.72000122070312</x:v>
      </x:c>
      <x:c r="C87" s="30" t="n">
        <x:v>195.88999938964844</x:v>
      </x:c>
      <x:c r="D87" s="30" t="n">
        <x:v>191.1300048828125</x:v>
      </x:c>
      <x:c r="E87" s="30" t="n">
        <x:v>193.8000030517578</x:v>
      </x:c>
      <x:c r="F87" s="30" t="n">
        <x:v>193.5531463623047</x:v>
      </x:c>
      <x:c r="G87" s="31" t="n">
        <x:v>154935300</x:v>
      </x:c>
      <x:c r="H87" s="32" t="n">
        <x:f>F87/F86-1</x:f>
        <x:v>0.003313345950255231</x:v>
      </x:c>
      <x:c r="I87" s="35" t="n">
        <x:f>AVERAGE(F68:F87)</x:f>
        <x:v>192.02958145141602</x:v>
      </x:c>
      <x:c r="J87" s="35" t="n">
        <x:f>AVERAGE(F38:F87)</x:f>
        <x:v>184.60478729248047</x:v>
      </x:c>
      <x:c r="K87" s="33" t="n">
        <x:f>IF(COUNT(I87:J87)=2,IF(I87&gt;J87,1,0),0)</x:f>
        <x:v>1</x:v>
      </x:c>
      <x:c r="L87" s="33" t="n">
        <x:f>K86</x:f>
        <x:v>1</x:v>
      </x:c>
      <x:c r="M87" s="36" t="n">
        <x:f>L87*H87-IF(L87&lt;&gt;L86,'Assumptions'!$B$7+'Assumptions'!$B$8,0)</x:f>
        <x:v>0.003313345950255231</x:v>
      </x:c>
      <x:c r="N87" s="37" t="n">
        <x:f>N86*(1+M87)</x:f>
        <x:v>1.031894434482535</x:v>
      </x:c>
      <x:c r="O87" s="36" t="n">
        <x:f>H87</x:f>
        <x:v>0.003313345950255231</x:v>
      </x:c>
      <x:c r="P87" s="37" t="n">
        <x:f>P86*(1+O87)</x:f>
        <x:v>1.1342538365385608</x:v>
      </x:c>
      <x:c r="Q87" s="34" t="n">
        <x:f>MAX(Q86,N87)</x:f>
        <x:v>1.102391214096513</x:v>
      </x:c>
      <x:c r="R87" s="38" t="n">
        <x:f>N87/Q87-1</x:f>
        <x:v>-0.06394896722009458</x:v>
      </x:c>
      <x:c r="S87" s="39" t="n">
        <x:f>MAX(S86,P87)</x:f>
        <x:v>1.2117435874944003</x:v>
      </x:c>
      <x:c r="T87" s="38" t="n">
        <x:f>P87/S87-1</x:f>
        <x:v>-0.0639489672200948</x:v>
      </x:c>
      <x:c r="U87" s="33" t="n">
        <x:f>IF(AND(L87=1,L86=0),1,0)</x:f>
        <x:v>0</x:v>
      </x:c>
      <x:c r="V87" s="33" t="n">
        <x:f>IF(AND(L87=0,L86=1),1,0)</x:f>
        <x:v>0</x:v>
      </x:c>
      <x:c r="W87" s="33" t="n">
        <x:f>IF(L87=K86,0,1)</x:f>
        <x:v>0</x:v>
      </x:c>
    </x:row>
    <x:row r="88">
      <x:c r="A88" s="29" t="n">
        <x:v>45974.604166666664</x:v>
      </x:c>
      <x:c r="B88" s="30" t="n">
        <x:v>191.0500030517578</x:v>
      </x:c>
      <x:c r="C88" s="30" t="n">
        <x:v>191.44000244140625</x:v>
      </x:c>
      <x:c r="D88" s="30" t="n">
        <x:v>183.85000610351562</x:v>
      </x:c>
      <x:c r="E88" s="30" t="n">
        <x:v>186.86000061035156</x:v>
      </x:c>
      <x:c r="F88" s="30" t="n">
        <x:v>186.62196350097656</x:v>
      </x:c>
      <x:c r="G88" s="31" t="n">
        <x:v>207423100</x:v>
      </x:c>
      <x:c r="H88" s="32" t="n">
        <x:f>F88/F87-1</x:f>
        <x:v>-0.03581023089314139</x:v>
      </x:c>
      <x:c r="I88" s="35" t="n">
        <x:f>AVERAGE(F69:F88)</x:f>
        <x:v>192.28175888061523</x:v>
      </x:c>
      <x:c r="J88" s="35" t="n">
        <x:f>AVERAGE(F39:F88)</x:f>
        <x:v>184.90859283447264</x:v>
      </x:c>
      <x:c r="K88" s="33" t="n">
        <x:f>IF(COUNT(I88:J88)=2,IF(I88&gt;J88,1,0),0)</x:f>
        <x:v>1</x:v>
      </x:c>
      <x:c r="L88" s="33" t="n">
        <x:f>K87</x:f>
        <x:v>1</x:v>
      </x:c>
      <x:c r="M88" s="36" t="n">
        <x:f>L88*H88-IF(L88&lt;&gt;L87,'Assumptions'!$B$7+'Assumptions'!$B$8,0)</x:f>
        <x:v>-0.03581023089314139</x:v>
      </x:c>
      <x:c r="N88" s="37" t="n">
        <x:f>N87*(1+M88)</x:f>
        <x:v>0.9949420565263678</x:v>
      </x:c>
      <x:c r="O88" s="36" t="n">
        <x:f>H88</x:f>
        <x:v>-0.03581023089314139</x:v>
      </x:c>
      <x:c r="P88" s="37" t="n">
        <x:f>P87*(1+O88)</x:f>
        <x:v>1.0936359447606836</x:v>
      </x:c>
      <x:c r="Q88" s="34" t="n">
        <x:f>MAX(Q87,N88)</x:f>
        <x:v>1.102391214096513</x:v>
      </x:c>
      <x:c r="R88" s="38" t="n">
        <x:f>N88/Q88-1</x:f>
        <x:v>-0.09746917083170648</x:v>
      </x:c>
      <x:c r="S88" s="39" t="n">
        <x:f>MAX(S87,P88)</x:f>
        <x:v>1.2117435874944003</x:v>
      </x:c>
      <x:c r="T88" s="38" t="n">
        <x:f>P88/S88-1</x:f>
        <x:v>-0.09746917083170659</x:v>
      </x:c>
      <x:c r="U88" s="33" t="n">
        <x:f>IF(AND(L88=1,L87=0),1,0)</x:f>
        <x:v>0</x:v>
      </x:c>
      <x:c r="V88" s="33" t="n">
        <x:f>IF(AND(L88=0,L87=1),1,0)</x:f>
        <x:v>0</x:v>
      </x:c>
      <x:c r="W88" s="33" t="n">
        <x:f>IF(L88=K87,0,1)</x:f>
        <x:v>0</x:v>
      </x:c>
    </x:row>
    <x:row r="89">
      <x:c r="A89" s="29" t="n">
        <x:v>45975.604166666664</x:v>
      </x:c>
      <x:c r="B89" s="30" t="n">
        <x:v>182.86000061035156</x:v>
      </x:c>
      <x:c r="C89" s="30" t="n">
        <x:v>191.00999450683594</x:v>
      </x:c>
      <x:c r="D89" s="30" t="n">
        <x:v>180.5800018310547</x:v>
      </x:c>
      <x:c r="E89" s="30" t="n">
        <x:v>190.1699981689453</x:v>
      </x:c>
      <x:c r="F89" s="30" t="n">
        <x:v>189.92774963378906</x:v>
      </x:c>
      <x:c r="G89" s="31" t="n">
        <x:v>186591900</x:v>
      </x:c>
      <x:c r="H89" s="32" t="n">
        <x:f>F89/F88-1</x:f>
        <x:v>0.017713810694073073</x:v>
      </x:c>
      <x:c r="I89" s="35" t="n">
        <x:f>AVERAGE(F70:F89)</x:f>
        <x:v>192.6288154602051</x:v>
      </x:c>
      <x:c r="J89" s="35" t="n">
        <x:f>AVERAGE(F40:F89)</x:f>
        <x:v>185.37119049072265</x:v>
      </x:c>
      <x:c r="K89" s="33" t="n">
        <x:f>IF(COUNT(I89:J89)=2,IF(I89&gt;J89,1,0),0)</x:f>
        <x:v>1</x:v>
      </x:c>
      <x:c r="L89" s="33" t="n">
        <x:f>K88</x:f>
        <x:v>1</x:v>
      </x:c>
      <x:c r="M89" s="36" t="n">
        <x:f>L89*H89-IF(L89&lt;&gt;L88,'Assumptions'!$B$7+'Assumptions'!$B$8,0)</x:f>
        <x:v>0.017713810694073073</x:v>
      </x:c>
      <x:c r="N89" s="37" t="n">
        <x:f>N88*(1+M89)</x:f>
        <x:v>1.0125662717672477</x:v>
      </x:c>
      <x:c r="O89" s="36" t="n">
        <x:f>H89</x:f>
        <x:v>0.017713810694073073</x:v>
      </x:c>
      <x:c r="P89" s="37" t="n">
        <x:f>P88*(1+O89)</x:f>
        <x:v>1.113008404854408</x:v>
      </x:c>
      <x:c r="Q89" s="34" t="n">
        <x:f>MAX(Q88,N89)</x:f>
        <x:v>1.102391214096513</x:v>
      </x:c>
      <x:c r="R89" s="38" t="n">
        <x:f>N89/Q89-1</x:f>
        <x:v>-0.08148191057825438</x:v>
      </x:c>
      <x:c r="S89" s="39" t="n">
        <x:f>MAX(S88,P89)</x:f>
        <x:v>1.2117435874944003</x:v>
      </x:c>
      <x:c r="T89" s="38" t="n">
        <x:f>P89/S89-1</x:f>
        <x:v>-0.08148191057825471</x:v>
      </x:c>
      <x:c r="U89" s="33" t="n">
        <x:f>IF(AND(L89=1,L88=0),1,0)</x:f>
        <x:v>0</x:v>
      </x:c>
      <x:c r="V89" s="33" t="n">
        <x:f>IF(AND(L89=0,L88=1),1,0)</x:f>
        <x:v>0</x:v>
      </x:c>
      <x:c r="W89" s="33" t="n">
        <x:f>IF(L89=K88,0,1)</x:f>
        <x:v>0</x:v>
      </x:c>
    </x:row>
    <x:row r="90">
      <x:c r="A90" s="29" t="n">
        <x:v>45978.604166666664</x:v>
      </x:c>
      <x:c r="B90" s="30" t="n">
        <x:v>185.97000122070312</x:v>
      </x:c>
      <x:c r="C90" s="30" t="n">
        <x:v>189</x:v>
      </x:c>
      <x:c r="D90" s="30" t="n">
        <x:v>184.32000732421875</x:v>
      </x:c>
      <x:c r="E90" s="30" t="n">
        <x:v>186.60000610351562</x:v>
      </x:c>
      <x:c r="F90" s="30" t="n">
        <x:v>186.3623046875</x:v>
      </x:c>
      <x:c r="G90" s="31" t="n">
        <x:v>173628900</x:v>
      </x:c>
      <x:c r="H90" s="32" t="n">
        <x:f>F90/F89-1</x:f>
        <x:v>-0.018772638296214228</x:v>
      </x:c>
      <x:c r="I90" s="35" t="n">
        <x:f>AVERAGE(F71:F90)</x:f>
        <x:v>192.82656326293946</x:v>
      </x:c>
      <x:c r="J90" s="35" t="n">
        <x:f>AVERAGE(F41:F90)</x:f>
        <x:v>185.7367141723633</x:v>
      </x:c>
      <x:c r="K90" s="33" t="n">
        <x:f>IF(COUNT(I90:J90)=2,IF(I90&gt;J90,1,0),0)</x:f>
        <x:v>1</x:v>
      </x:c>
      <x:c r="L90" s="33" t="n">
        <x:f>K89</x:f>
        <x:v>1</x:v>
      </x:c>
      <x:c r="M90" s="36" t="n">
        <x:f>L90*H90-IF(L90&lt;&gt;L89,'Assumptions'!$B$7+'Assumptions'!$B$8,0)</x:f>
        <x:v>-0.018772638296214228</x:v>
      </x:c>
      <x:c r="N90" s="37" t="n">
        <x:f>N89*(1+M90)</x:f>
        <x:v>0.993557731396415</x:v>
      </x:c>
      <x:c r="O90" s="36" t="n">
        <x:f>H90</x:f>
        <x:v>-0.018772638296214228</x:v>
      </x:c>
      <x:c r="P90" s="37" t="n">
        <x:f>P89*(1+O90)</x:f>
        <x:v>1.0921143006494298</x:v>
      </x:c>
      <x:c r="Q90" s="34" t="n">
        <x:f>MAX(Q89,N90)</x:f>
        <x:v>1.102391214096513</x:v>
      </x:c>
      <x:c r="R90" s="38" t="n">
        <x:f>N90/Q90-1</x:f>
        <x:v>-0.0987249184394986</x:v>
      </x:c>
      <x:c r="S90" s="39" t="n">
        <x:f>MAX(S89,P90)</x:f>
        <x:v>1.2117435874944003</x:v>
      </x:c>
      <x:c r="T90" s="38" t="n">
        <x:f>P90/S90-1</x:f>
        <x:v>-0.09872491843949882</x:v>
      </x:c>
      <x:c r="U90" s="33" t="n">
        <x:f>IF(AND(L90=1,L89=0),1,0)</x:f>
        <x:v>0</x:v>
      </x:c>
      <x:c r="V90" s="33" t="n">
        <x:f>IF(AND(L90=0,L89=1),1,0)</x:f>
        <x:v>0</x:v>
      </x:c>
      <x:c r="W90" s="33" t="n">
        <x:f>IF(L90=K89,0,1)</x:f>
        <x:v>0</x:v>
      </x:c>
    </x:row>
    <x:row r="91">
      <x:c r="A91" s="29" t="n">
        <x:v>45979.604166666664</x:v>
      </x:c>
      <x:c r="B91" s="30" t="n">
        <x:v>183.3800048828125</x:v>
      </x:c>
      <x:c r="C91" s="30" t="n">
        <x:v>184.8000030517578</x:v>
      </x:c>
      <x:c r="D91" s="30" t="n">
        <x:v>179.64999389648438</x:v>
      </x:c>
      <x:c r="E91" s="30" t="n">
        <x:v>181.36000061035156</x:v>
      </x:c>
      <x:c r="F91" s="30" t="n">
        <x:v>181.1289825439453</x:v>
      </x:c>
      <x:c r="G91" s="31" t="n">
        <x:v>213598900</x:v>
      </x:c>
      <x:c r="H91" s="32" t="n">
        <x:f>F91/F90-1</x:f>
        <x:v>-0.028081441428459142</x:v>
      </x:c>
      <x:c r="I91" s="35" t="n">
        <x:f>AVERAGE(F72:F91)</x:f>
        <x:v>192.8365509033203</x:v>
      </x:c>
      <x:c r="J91" s="35" t="n">
        <x:f>AVERAGE(F42:F91)</x:f>
        <x:v>185.94863677978515</x:v>
      </x:c>
      <x:c r="K91" s="33" t="n">
        <x:f>IF(COUNT(I91:J91)=2,IF(I91&gt;J91,1,0),0)</x:f>
        <x:v>1</x:v>
      </x:c>
      <x:c r="L91" s="33" t="n">
        <x:f>K90</x:f>
        <x:v>1</x:v>
      </x:c>
      <x:c r="M91" s="36" t="n">
        <x:f>L91*H91-IF(L91&lt;&gt;L90,'Assumptions'!$B$7+'Assumptions'!$B$8,0)</x:f>
        <x:v>-0.028081441428459142</x:v>
      </x:c>
      <x:c r="N91" s="37" t="n">
        <x:f>N90*(1+M91)</x:f>
        <x:v>0.9656571981564138</x:v>
      </x:c>
      <x:c r="O91" s="36" t="n">
        <x:f>H91</x:f>
        <x:v>-0.028081441428459142</x:v>
      </x:c>
      <x:c r="P91" s="37" t="n">
        <x:f>P90*(1+O91)</x:f>
        <x:v>1.0614461568825602</x:v>
      </x:c>
      <x:c r="Q91" s="34" t="n">
        <x:f>MAX(Q90,N91)</x:f>
        <x:v>1.102391214096513</x:v>
      </x:c>
      <x:c r="R91" s="38" t="n">
        <x:f>N91/Q91-1</x:f>
        <x:v>-0.1240340218532695</x:v>
      </x:c>
      <x:c r="S91" s="39" t="n">
        <x:f>MAX(S90,P91)</x:f>
        <x:v>1.2117435874944003</x:v>
      </x:c>
      <x:c r="T91" s="38" t="n">
        <x:f>P91/S91-1</x:f>
        <x:v>-0.12403402185326984</x:v>
      </x:c>
      <x:c r="U91" s="33" t="n">
        <x:f>IF(AND(L91=1,L90=0),1,0)</x:f>
        <x:v>0</x:v>
      </x:c>
      <x:c r="V91" s="33" t="n">
        <x:f>IF(AND(L91=0,L90=1),1,0)</x:f>
        <x:v>0</x:v>
      </x:c>
      <x:c r="W91" s="33" t="n">
        <x:f>IF(L91=K90,0,1)</x:f>
        <x:v>0</x:v>
      </x:c>
    </x:row>
    <x:row r="92">
      <x:c r="A92" s="29" t="n">
        <x:v>45980.604166666664</x:v>
      </x:c>
      <x:c r="B92" s="30" t="n">
        <x:v>184.7899932861328</x:v>
      </x:c>
      <x:c r="C92" s="30" t="n">
        <x:v>187.86000061035156</x:v>
      </x:c>
      <x:c r="D92" s="30" t="n">
        <x:v>182.8300018310547</x:v>
      </x:c>
      <x:c r="E92" s="30" t="n">
        <x:v>186.52000427246094</x:v>
      </x:c>
      <x:c r="F92" s="30" t="n">
        <x:v>186.28240966796875</x:v>
      </x:c>
      <x:c r="G92" s="31" t="n">
        <x:v>247246400</x:v>
      </x:c>
      <x:c r="H92" s="32" t="n">
        <x:f>F92/F91-1</x:f>
        <x:v>0.028451698075282472</x:v>
      </x:c>
      <x:c r="I92" s="35" t="n">
        <x:f>AVERAGE(F73:F92)</x:f>
        <x:v>193.14815368652344</x:v>
      </x:c>
      <x:c r="J92" s="35" t="n">
        <x:f>AVERAGE(F43:F92)</x:f>
        <x:v>186.13240234375</x:v>
      </x:c>
      <x:c r="K92" s="33" t="n">
        <x:f>IF(COUNT(I92:J92)=2,IF(I92&gt;J92,1,0),0)</x:f>
        <x:v>1</x:v>
      </x:c>
      <x:c r="L92" s="33" t="n">
        <x:f>K91</x:f>
        <x:v>1</x:v>
      </x:c>
      <x:c r="M92" s="36" t="n">
        <x:f>L92*H92-IF(L92&lt;&gt;L91,'Assumptions'!$B$7+'Assumptions'!$B$8,0)</x:f>
        <x:v>0.028451698075282472</x:v>
      </x:c>
      <x:c r="N92" s="37" t="n">
        <x:f>N91*(1+M92)</x:f>
        <x:v>0.9931317852025833</x:v>
      </x:c>
      <x:c r="O92" s="36" t="n">
        <x:f>H92</x:f>
        <x:v>0.028451698075282472</x:v>
      </x:c>
      <x:c r="P92" s="37" t="n">
        <x:f>P91*(1+O92)</x:f>
        <x:v>1.0916461024613517</x:v>
      </x:c>
      <x:c r="Q92" s="34" t="n">
        <x:f>MAX(Q91,N92)</x:f>
        <x:v>1.102391214096513</x:v>
      </x:c>
      <x:c r="R92" s="38" t="n">
        <x:f>N92/Q92-1</x:f>
        <x:v>-0.09911130231881937</x:v>
      </x:c>
      <x:c r="S92" s="39" t="n">
        <x:f>MAX(S91,P92)</x:f>
        <x:v>1.2117435874944003</x:v>
      </x:c>
      <x:c r="T92" s="38" t="n">
        <x:f>P92/S92-1</x:f>
        <x:v>-0.0991113023188196</x:v>
      </x:c>
      <x:c r="U92" s="33" t="n">
        <x:f>IF(AND(L92=1,L91=0),1,0)</x:f>
        <x:v>0</x:v>
      </x:c>
      <x:c r="V92" s="33" t="n">
        <x:f>IF(AND(L92=0,L91=1),1,0)</x:f>
        <x:v>0</x:v>
      </x:c>
      <x:c r="W92" s="33" t="n">
        <x:f>IF(L92=K91,0,1)</x:f>
        <x:v>0</x:v>
      </x:c>
    </x:row>
    <x:row r="93">
      <x:c r="A93" s="29" t="n">
        <x:v>45981.604166666664</x:v>
      </x:c>
      <x:c r="B93" s="30" t="n">
        <x:v>195.9499969482422</x:v>
      </x:c>
      <x:c r="C93" s="30" t="n">
        <x:v>196</x:v>
      </x:c>
      <x:c r="D93" s="30" t="n">
        <x:v>179.85000610351562</x:v>
      </x:c>
      <x:c r="E93" s="30" t="n">
        <x:v>180.63999938964844</x:v>
      </x:c>
      <x:c r="F93" s="30" t="n">
        <x:v>180.40989685058594</x:v>
      </x:c>
      <x:c r="G93" s="31" t="n">
        <x:v>343504800</x:v>
      </x:c>
      <x:c r="H93" s="32" t="n">
        <x:f>F93/F92-1</x:f>
        <x:v>-0.03152478448099327</x:v>
      </x:c>
      <x:c r="I93" s="35" t="n">
        <x:f>AVERAGE(F74:F93)</x:f>
        <x:v>193.07225036621094</x:v>
      </x:c>
      <x:c r="J93" s="35" t="n">
        <x:f>AVERAGE(F44:F93)</x:f>
        <x:v>186.20171356201172</x:v>
      </x:c>
      <x:c r="K93" s="33" t="n">
        <x:f>IF(COUNT(I93:J93)=2,IF(I93&gt;J93,1,0),0)</x:f>
        <x:v>1</x:v>
      </x:c>
      <x:c r="L93" s="33" t="n">
        <x:f>K92</x:f>
        <x:v>1</x:v>
      </x:c>
      <x:c r="M93" s="36" t="n">
        <x:f>L93*H93-IF(L93&lt;&gt;L92,'Assumptions'!$B$7+'Assumptions'!$B$8,0)</x:f>
        <x:v>-0.03152478448099327</x:v>
      </x:c>
      <x:c r="N93" s="37" t="n">
        <x:f>N92*(1+M93)</x:f>
        <x:v>0.9618235197128477</x:v>
      </x:c>
      <x:c r="O93" s="36" t="n">
        <x:f>H93</x:f>
        <x:v>-0.03152478448099327</x:v>
      </x:c>
      <x:c r="P93" s="37" t="n">
        <x:f>P92*(1+O93)</x:f>
        <x:v>1.0572321943517413</x:v>
      </x:c>
      <x:c r="Q93" s="34" t="n">
        <x:f>MAX(Q92,N93)</x:f>
        <x:v>1.102391214096513</x:v>
      </x:c>
      <x:c r="R93" s="38" t="n">
        <x:f>N93/Q93-1</x:f>
        <x:v>-0.1275116243545813</x:v>
      </x:c>
      <x:c r="S93" s="39" t="n">
        <x:f>MAX(S92,P93)</x:f>
        <x:v>1.2117435874944003</x:v>
      </x:c>
      <x:c r="T93" s="38" t="n">
        <x:f>P93/S93-1</x:f>
        <x:v>-0.12751162435458152</x:v>
      </x:c>
      <x:c r="U93" s="33" t="n">
        <x:f>IF(AND(L93=1,L92=0),1,0)</x:f>
        <x:v>0</x:v>
      </x:c>
      <x:c r="V93" s="33" t="n">
        <x:f>IF(AND(L93=0,L92=1),1,0)</x:f>
        <x:v>0</x:v>
      </x:c>
      <x:c r="W93" s="33" t="n">
        <x:f>IF(L93=K92,0,1)</x:f>
        <x:v>0</x:v>
      </x:c>
    </x:row>
    <x:row r="94">
      <x:c r="A94" s="29" t="n">
        <x:v>45982.604166666664</x:v>
      </x:c>
      <x:c r="B94" s="30" t="n">
        <x:v>181.24000549316406</x:v>
      </x:c>
      <x:c r="C94" s="30" t="n">
        <x:v>184.55999755859375</x:v>
      </x:c>
      <x:c r="D94" s="30" t="n">
        <x:v>172.92999267578125</x:v>
      </x:c>
      <x:c r="E94" s="30" t="n">
        <x:v>178.8800048828125</x:v>
      </x:c>
      <x:c r="F94" s="30" t="n">
        <x:v>178.6521453857422</x:v>
      </x:c>
      <x:c r="G94" s="31" t="n">
        <x:v>346926200</x:v>
      </x:c>
      <x:c r="H94" s="32" t="n">
        <x:f>F94/F93-1</x:f>
        <x:v>-0.00974309888497693</x:v>
      </x:c>
      <x:c r="I94" s="35" t="n">
        <x:f>AVERAGE(F75:F94)</x:f>
        <x:v>192.70372161865234</x:v>
      </x:c>
      <x:c r="J94" s="35" t="n">
        <x:f>AVERAGE(F45:F94)</x:f>
        <x:v>186.22288665771484</x:v>
      </x:c>
      <x:c r="K94" s="33" t="n">
        <x:f>IF(COUNT(I94:J94)=2,IF(I94&gt;J94,1,0),0)</x:f>
        <x:v>1</x:v>
      </x:c>
      <x:c r="L94" s="33" t="n">
        <x:f>K93</x:f>
        <x:v>1</x:v>
      </x:c>
      <x:c r="M94" s="36" t="n">
        <x:f>L94*H94-IF(L94&lt;&gt;L93,'Assumptions'!$B$7+'Assumptions'!$B$8,0)</x:f>
        <x:v>-0.00974309888497693</x:v>
      </x:c>
      <x:c r="N94" s="37" t="n">
        <x:f>N93*(1+M94)</x:f>
        <x:v>0.952452378050389</x:v>
      </x:c>
      <x:c r="O94" s="36" t="n">
        <x:f>H94</x:f>
        <x:v>-0.00974309888497693</x:v>
      </x:c>
      <x:c r="P94" s="37" t="n">
        <x:f>P93*(1+O94)</x:f>
        <x:v>1.046931476537791</x:v>
      </x:c>
      <x:c r="Q94" s="34" t="n">
        <x:f>MAX(Q93,N94)</x:f>
        <x:v>1.102391214096513</x:v>
      </x:c>
      <x:c r="R94" s="38" t="n">
        <x:f>N94/Q94-1</x:f>
        <x:v>-0.13601236487448742</x:v>
      </x:c>
      <x:c r="S94" s="39" t="n">
        <x:f>MAX(S93,P94)</x:f>
        <x:v>1.2117435874944003</x:v>
      </x:c>
      <x:c r="T94" s="38" t="n">
        <x:f>P94/S94-1</x:f>
        <x:v>-0.13601236487448776</x:v>
      </x:c>
      <x:c r="U94" s="33" t="n">
        <x:f>IF(AND(L94=1,L93=0),1,0)</x:f>
        <x:v>0</x:v>
      </x:c>
      <x:c r="V94" s="33" t="n">
        <x:f>IF(AND(L94=0,L93=1),1,0)</x:f>
        <x:v>0</x:v>
      </x:c>
      <x:c r="W94" s="33" t="n">
        <x:f>IF(L94=K93,0,1)</x:f>
        <x:v>0</x:v>
      </x:c>
    </x:row>
    <x:row r="95">
      <x:c r="A95" s="29" t="n">
        <x:v>45985.604166666664</x:v>
      </x:c>
      <x:c r="B95" s="30" t="n">
        <x:v>179.49000549316406</x:v>
      </x:c>
      <x:c r="C95" s="30" t="n">
        <x:v>183.5</x:v>
      </x:c>
      <x:c r="D95" s="30" t="n">
        <x:v>176.47999572753906</x:v>
      </x:c>
      <x:c r="E95" s="30" t="n">
        <x:v>182.5500030517578</x:v>
      </x:c>
      <x:c r="F95" s="30" t="n">
        <x:v>182.31747436523438</x:v>
      </x:c>
      <x:c r="G95" s="31" t="n">
        <x:v>256618300</x:v>
      </x:c>
      <x:c r="H95" s="32" t="n">
        <x:f>F95/F94-1</x:f>
        <x:v>0.02051656850567385</x:v>
      </x:c>
      <x:c r="I95" s="35" t="n">
        <x:f>AVERAGE(F76:F95)</x:f>
        <x:v>192.2572914123535</x:v>
      </x:c>
      <x:c r="J95" s="35" t="n">
        <x:f>AVERAGE(F46:F95)</x:f>
        <x:v>186.3187643432617</x:v>
      </x:c>
      <x:c r="K95" s="33" t="n">
        <x:f>IF(COUNT(I95:J95)=2,IF(I95&gt;J95,1,0),0)</x:f>
        <x:v>1</x:v>
      </x:c>
      <x:c r="L95" s="33" t="n">
        <x:f>K94</x:f>
        <x:v>1</x:v>
      </x:c>
      <x:c r="M95" s="36" t="n">
        <x:f>L95*H95-IF(L95&lt;&gt;L94,'Assumptions'!$B$7+'Assumptions'!$B$8,0)</x:f>
        <x:v>0.02051656850567385</x:v>
      </x:c>
      <x:c r="N95" s="37" t="n">
        <x:f>N94*(1+M95)</x:f>
        <x:v>0.9719934325130517</x:v>
      </x:c>
      <x:c r="O95" s="36" t="n">
        <x:f>H95</x:f>
        <x:v>0.02051656850567385</x:v>
      </x:c>
      <x:c r="P95" s="37" t="n">
        <x:f>P94*(1+O95)</x:f>
        <x:v>1.068410917896925</x:v>
      </x:c>
      <x:c r="Q95" s="34" t="n">
        <x:f>MAX(Q94,N95)</x:f>
        <x:v>1.102391214096513</x:v>
      </x:c>
      <x:c r="R95" s="38" t="n">
        <x:f>N95/Q95-1</x:f>
        <x:v>-0.11828630337037971</x:v>
      </x:c>
      <x:c r="S95" s="39" t="n">
        <x:f>MAX(S94,P95)</x:f>
        <x:v>1.2117435874944003</x:v>
      </x:c>
      <x:c r="T95" s="38" t="n">
        <x:f>P95/S95-1</x:f>
        <x:v>-0.11828630337038004</x:v>
      </x:c>
      <x:c r="U95" s="33" t="n">
        <x:f>IF(AND(L95=1,L94=0),1,0)</x:f>
        <x:v>0</x:v>
      </x:c>
      <x:c r="V95" s="33" t="n">
        <x:f>IF(AND(L95=0,L94=1),1,0)</x:f>
        <x:v>0</x:v>
      </x:c>
      <x:c r="W95" s="33" t="n">
        <x:f>IF(L95=K94,0,1)</x:f>
        <x:v>0</x:v>
      </x:c>
    </x:row>
    <x:row r="96">
      <x:c r="A96" s="29" t="n">
        <x:v>45986.604166666664</x:v>
      </x:c>
      <x:c r="B96" s="30" t="n">
        <x:v>174.91000366210938</x:v>
      </x:c>
      <x:c r="C96" s="30" t="n">
        <x:v>178.16000366210938</x:v>
      </x:c>
      <x:c r="D96" s="30" t="n">
        <x:v>169.5500030517578</x:v>
      </x:c>
      <x:c r="E96" s="30" t="n">
        <x:v>177.82000732421875</x:v>
      </x:c>
      <x:c r="F96" s="30" t="n">
        <x:v>177.59349060058594</x:v>
      </x:c>
      <x:c r="G96" s="31" t="n">
        <x:v>320600300</x:v>
      </x:c>
      <x:c r="H96" s="32" t="n">
        <x:f>F96/F95-1</x:f>
        <x:v>-0.02591075694250211</x:v>
      </x:c>
      <x:c r="I96" s="35" t="n">
        <x:f>AVERAGE(F77:F96)</x:f>
        <x:v>191.09826889038087</x:v>
      </x:c>
      <x:c r="J96" s="35" t="n">
        <x:f>AVERAGE(F47:F96)</x:f>
        <x:v>186.37748931884767</x:v>
      </x:c>
      <x:c r="K96" s="33" t="n">
        <x:f>IF(COUNT(I96:J96)=2,IF(I96&gt;J96,1,0),0)</x:f>
        <x:v>1</x:v>
      </x:c>
      <x:c r="L96" s="33" t="n">
        <x:f>K95</x:f>
        <x:v>1</x:v>
      </x:c>
      <x:c r="M96" s="36" t="n">
        <x:f>L96*H96-IF(L96&lt;&gt;L95,'Assumptions'!$B$7+'Assumptions'!$B$8,0)</x:f>
        <x:v>-0.02591075694250211</x:v>
      </x:c>
      <x:c r="N96" s="37" t="n">
        <x:f>N95*(1+M96)</x:f>
        <x:v>0.9468083469334977</x:v>
      </x:c>
      <x:c r="O96" s="36" t="n">
        <x:f>H96</x:f>
        <x:v>-0.02591075694250211</x:v>
      </x:c>
      <x:c r="P96" s="37" t="n">
        <x:f>P95*(1+O96)</x:f>
        <x:v>1.0407275822885822</x:v>
      </x:c>
      <x:c r="Q96" s="34" t="n">
        <x:f>MAX(Q95,N96)</x:f>
        <x:v>1.102391214096513</x:v>
      </x:c>
      <x:c r="R96" s="38" t="n">
        <x:f>N96/Q96-1</x:f>
        <x:v>-0.14113217265662492</x:v>
      </x:c>
      <x:c r="S96" s="39" t="n">
        <x:f>MAX(S95,P96)</x:f>
        <x:v>1.2117435874944003</x:v>
      </x:c>
      <x:c r="T96" s="38" t="n">
        <x:f>P96/S96-1</x:f>
        <x:v>-0.14113217265662514</x:v>
      </x:c>
      <x:c r="U96" s="33" t="n">
        <x:f>IF(AND(L96=1,L95=0),1,0)</x:f>
        <x:v>0</x:v>
      </x:c>
      <x:c r="V96" s="33" t="n">
        <x:f>IF(AND(L96=0,L95=1),1,0)</x:f>
        <x:v>0</x:v>
      </x:c>
      <x:c r="W96" s="33" t="n">
        <x:f>IF(L96=K95,0,1)</x:f>
        <x:v>0</x:v>
      </x:c>
    </x:row>
    <x:row r="97">
      <x:c r="A97" s="29" t="n">
        <x:v>45987.604166666664</x:v>
      </x:c>
      <x:c r="B97" s="30" t="n">
        <x:v>181.6300048828125</x:v>
      </x:c>
      <x:c r="C97" s="30" t="n">
        <x:v>182.91000366210938</x:v>
      </x:c>
      <x:c r="D97" s="30" t="n">
        <x:v>178.24000549316406</x:v>
      </x:c>
      <x:c r="E97" s="30" t="n">
        <x:v>180.25999450683594</x:v>
      </x:c>
      <x:c r="F97" s="30" t="n">
        <x:v>180.03038024902344</x:v>
      </x:c>
      <x:c r="G97" s="31" t="n">
        <x:v>183852000</x:v>
      </x:c>
      <x:c r="H97" s="32" t="n">
        <x:f>F97/F96-1</x:f>
        <x:v>0.013721728427074753</x:v>
      </x:c>
      <x:c r="I97" s="35" t="n">
        <x:f>AVERAGE(F78:F97)</x:f>
        <x:v>189.76097412109374</x:v>
      </x:c>
      <x:c r="J97" s="35" t="n">
        <x:f>AVERAGE(F48:F97)</x:f>
        <x:v>186.57663543701173</x:v>
      </x:c>
      <x:c r="K97" s="33" t="n">
        <x:f>IF(COUNT(I97:J97)=2,IF(I97&gt;J97,1,0),0)</x:f>
        <x:v>1</x:v>
      </x:c>
      <x:c r="L97" s="33" t="n">
        <x:f>K96</x:f>
        <x:v>1</x:v>
      </x:c>
      <x:c r="M97" s="36" t="n">
        <x:f>L97*H97-IF(L97&lt;&gt;L96,'Assumptions'!$B$7+'Assumptions'!$B$8,0)</x:f>
        <x:v>0.013721728427074753</x:v>
      </x:c>
      <x:c r="N97" s="37" t="n">
        <x:f>N96*(1+M97)</x:f>
        <x:v>0.9598001939426067</x:v>
      </x:c>
      <x:c r="O97" s="36" t="n">
        <x:f>H97</x:f>
        <x:v>0.013721728427074753</x:v>
      </x:c>
      <x:c r="P97" s="37" t="n">
        <x:f>P96*(1+O97)</x:f>
        <x:v>1.0550081635393123</x:v>
      </x:c>
      <x:c r="Q97" s="34" t="n">
        <x:f>MAX(Q96,N97)</x:f>
        <x:v>1.102391214096513</x:v>
      </x:c>
      <x:c r="R97" s="38" t="n">
        <x:f>N97/Q97-1</x:f>
        <x:v>-0.12934702157506728</x:v>
      </x:c>
      <x:c r="S97" s="39" t="n">
        <x:f>MAX(S96,P97)</x:f>
        <x:v>1.2117435874944003</x:v>
      </x:c>
      <x:c r="T97" s="38" t="n">
        <x:f>P97/S97-1</x:f>
        <x:v>-0.1293470215750676</x:v>
      </x:c>
      <x:c r="U97" s="33" t="n">
        <x:f>IF(AND(L97=1,L96=0),1,0)</x:f>
        <x:v>0</x:v>
      </x:c>
      <x:c r="V97" s="33" t="n">
        <x:f>IF(AND(L97=0,L96=1),1,0)</x:f>
        <x:v>0</x:v>
      </x:c>
      <x:c r="W97" s="33" t="n">
        <x:f>IF(L97=K96,0,1)</x:f>
        <x:v>0</x:v>
      </x:c>
    </x:row>
    <x:row r="98">
      <x:c r="A98" s="29" t="n">
        <x:v>45989.604166666664</x:v>
      </x:c>
      <x:c r="B98" s="30" t="n">
        <x:v>179.00999450683594</x:v>
      </x:c>
      <x:c r="C98" s="30" t="n">
        <x:v>179.2899932861328</x:v>
      </x:c>
      <x:c r="D98" s="30" t="n">
        <x:v>176.5</x:v>
      </x:c>
      <x:c r="E98" s="30" t="n">
        <x:v>177</x:v>
      </x:c>
      <x:c r="F98" s="30" t="n">
        <x:v>176.7745361328125</x:v>
      </x:c>
      <x:c r="G98" s="31" t="n">
        <x:v>121332800</x:v>
      </x:c>
      <x:c r="H98" s="32" t="n">
        <x:f>F98/F97-1</x:f>
        <x:v>-0.018084970501686226</x:v>
      </x:c>
      <x:c r="I98" s="35" t="n">
        <x:f>AVERAGE(F79:F98)</x:f>
        <x:v>188.46812286376954</x:v>
      </x:c>
      <x:c r="J98" s="35" t="n">
        <x:f>AVERAGE(F49:F98)</x:f>
        <x:v>186.59181579589844</x:v>
      </x:c>
      <x:c r="K98" s="33" t="n">
        <x:f>IF(COUNT(I98:J98)=2,IF(I98&gt;J98,1,0),0)</x:f>
        <x:v>1</x:v>
      </x:c>
      <x:c r="L98" s="33" t="n">
        <x:f>K97</x:f>
        <x:v>1</x:v>
      </x:c>
      <x:c r="M98" s="36" t="n">
        <x:f>L98*H98-IF(L98&lt;&gt;L97,'Assumptions'!$B$7+'Assumptions'!$B$8,0)</x:f>
        <x:v>-0.018084970501686226</x:v>
      </x:c>
      <x:c r="N98" s="37" t="n">
        <x:f>N97*(1+M98)</x:f>
        <x:v>0.942442235747642</x:v>
      </x:c>
      <x:c r="O98" s="36" t="n">
        <x:f>H98</x:f>
        <x:v>-0.018084970501686226</x:v>
      </x:c>
      <x:c r="P98" s="37" t="n">
        <x:f>P97*(1+O98)</x:f>
        <x:v>1.0359283720226657</x:v>
      </x:c>
      <x:c r="Q98" s="34" t="n">
        <x:f>MAX(Q97,N98)</x:f>
        <x:v>1.102391214096513</x:v>
      </x:c>
      <x:c r="R98" s="38" t="n">
        <x:f>N98/Q98-1</x:f>
        <x:v>-0.14509275500708751</x:v>
      </x:c>
      <x:c r="S98" s="39" t="n">
        <x:f>MAX(S97,P98)</x:f>
        <x:v>1.2117435874944003</x:v>
      </x:c>
      <x:c r="T98" s="38" t="n">
        <x:f>P98/S98-1</x:f>
        <x:v>-0.14509275500708763</x:v>
      </x:c>
      <x:c r="U98" s="33" t="n">
        <x:f>IF(AND(L98=1,L97=0),1,0)</x:f>
        <x:v>0</x:v>
      </x:c>
      <x:c r="V98" s="33" t="n">
        <x:f>IF(AND(L98=0,L97=1),1,0)</x:f>
        <x:v>0</x:v>
      </x:c>
      <x:c r="W98" s="33" t="n">
        <x:f>IF(L98=K97,0,1)</x:f>
        <x:v>0</x:v>
      </x:c>
    </x:row>
    <x:row r="99">
      <x:c r="A99" s="29" t="n">
        <x:v>45992.604166666664</x:v>
      </x:c>
      <x:c r="B99" s="30" t="n">
        <x:v>174.75999450683594</x:v>
      </x:c>
      <x:c r="C99" s="30" t="n">
        <x:v>180.3000030517578</x:v>
      </x:c>
      <x:c r="D99" s="30" t="n">
        <x:v>173.67999267578125</x:v>
      </x:c>
      <x:c r="E99" s="30" t="n">
        <x:v>179.9199981689453</x:v>
      </x:c>
      <x:c r="F99" s="30" t="n">
        <x:v>179.69082641601562</x:v>
      </x:c>
      <x:c r="G99" s="31" t="n">
        <x:v>188131000</x:v>
      </x:c>
      <x:c r="H99" s="32" t="n">
        <x:f>F99/F98-1</x:f>
        <x:v>0.016497230579703537</x:v>
      </x:c>
      <x:c r="I99" s="35" t="n">
        <x:f>AVERAGE(F80:F99)</x:f>
        <x:v>187.34106063842773</x:v>
      </x:c>
      <x:c r="J99" s="35" t="n">
        <x:f>AVERAGE(F50:F99)</x:f>
        <x:v>186.6567333984375</x:v>
      </x:c>
      <x:c r="K99" s="33" t="n">
        <x:f>IF(COUNT(I99:J99)=2,IF(I99&gt;J99,1,0),0)</x:f>
        <x:v>1</x:v>
      </x:c>
      <x:c r="L99" s="33" t="n">
        <x:f>K98</x:f>
        <x:v>1</x:v>
      </x:c>
      <x:c r="M99" s="36" t="n">
        <x:f>L99*H99-IF(L99&lt;&gt;L98,'Assumptions'!$B$7+'Assumptions'!$B$8,0)</x:f>
        <x:v>0.016497230579703537</x:v>
      </x:c>
      <x:c r="N99" s="37" t="n">
        <x:f>N98*(1+M99)</x:f>
        <x:v>0.9579899226188221</x:v>
      </x:c>
      <x:c r="O99" s="36" t="n">
        <x:f>H99</x:f>
        <x:v>0.016497230579703537</x:v>
      </x:c>
      <x:c r="P99" s="37" t="n">
        <x:f>P98*(1+O99)</x:f>
        <x:v>1.0530183212399806</x:v>
      </x:c>
      <x:c r="Q99" s="34" t="n">
        <x:f>MAX(Q98,N99)</x:f>
        <x:v>1.102391214096513</x:v>
      </x:c>
      <x:c r="R99" s="38" t="n">
        <x:f>N99/Q99-1</x:f>
        <x:v>-0.1309891530621804</x:v>
      </x:c>
      <x:c r="S99" s="39" t="n">
        <x:f>MAX(S98,P99)</x:f>
        <x:v>1.2117435874944003</x:v>
      </x:c>
      <x:c r="T99" s="38" t="n">
        <x:f>P99/S99-1</x:f>
        <x:v>-0.1309891530621804</x:v>
      </x:c>
      <x:c r="U99" s="33" t="n">
        <x:f>IF(AND(L99=1,L98=0),1,0)</x:f>
        <x:v>0</x:v>
      </x:c>
      <x:c r="V99" s="33" t="n">
        <x:f>IF(AND(L99=0,L98=1),1,0)</x:f>
        <x:v>0</x:v>
      </x:c>
      <x:c r="W99" s="33" t="n">
        <x:f>IF(L99=K98,0,1)</x:f>
        <x:v>0</x:v>
      </x:c>
    </x:row>
    <x:row r="100">
      <x:c r="A100" s="29" t="n">
        <x:v>45993.604166666664</x:v>
      </x:c>
      <x:c r="B100" s="30" t="n">
        <x:v>181.75999450683594</x:v>
      </x:c>
      <x:c r="C100" s="30" t="n">
        <x:v>185.66000366210938</x:v>
      </x:c>
      <x:c r="D100" s="30" t="n">
        <x:v>180</x:v>
      </x:c>
      <x:c r="E100" s="30" t="n">
        <x:v>181.4600067138672</x:v>
      </x:c>
      <x:c r="F100" s="30" t="n">
        <x:v>181.22885131835938</x:v>
      </x:c>
      <x:c r="G100" s="31" t="n">
        <x:v>182632200</x:v>
      </x:c>
      <x:c r="H100" s="32" t="n">
        <x:f>F100/F99-1</x:f>
        <x:v>0.008559284483354412</x:v>
      </x:c>
      <x:c r="I100" s="35" t="n">
        <x:f>AVERAGE(F81:F100)</x:f>
        <x:v>186.0716796875</x:v>
      </x:c>
      <x:c r="J100" s="35" t="n">
        <x:f>AVERAGE(F51:F100)</x:f>
        <x:v>186.61378814697267</x:v>
      </x:c>
      <x:c r="K100" s="33" t="n">
        <x:f>IF(COUNT(I100:J100)=2,IF(I100&gt;J100,1,0),0)</x:f>
        <x:v>0</x:v>
      </x:c>
      <x:c r="L100" s="33" t="n">
        <x:f>K99</x:f>
        <x:v>1</x:v>
      </x:c>
      <x:c r="M100" s="36" t="n">
        <x:f>L100*H100-IF(L100&lt;&gt;L99,'Assumptions'!$B$7+'Assumptions'!$B$8,0)</x:f>
        <x:v>0.008559284483354412</x:v>
      </x:c>
      <x:c r="N100" s="37" t="n">
        <x:f>N99*(1+M100)</x:f>
        <x:v>0.9661896308987032</x:v>
      </x:c>
      <x:c r="O100" s="36" t="n">
        <x:f>H100</x:f>
        <x:v>0.008559284483354412</x:v>
      </x:c>
      <x:c r="P100" s="37" t="n">
        <x:f>P99*(1+O100)</x:f>
        <x:v>1.062031404617658</x:v>
      </x:c>
      <x:c r="Q100" s="34" t="n">
        <x:f>MAX(Q99,N100)</x:f>
        <x:v>1.102391214096513</x:v>
      </x:c>
      <x:c r="R100" s="38" t="n">
        <x:f>N100/Q100-1</x:f>
        <x:v>-0.12355104200411882</x:v>
      </x:c>
      <x:c r="S100" s="39" t="n">
        <x:f>MAX(S99,P100)</x:f>
        <x:v>1.2117435874944003</x:v>
      </x:c>
      <x:c r="T100" s="38" t="n">
        <x:f>P100/S100-1</x:f>
        <x:v>-0.12355104200411882</x:v>
      </x:c>
      <x:c r="U100" s="33" t="n">
        <x:f>IF(AND(L100=1,L99=0),1,0)</x:f>
        <x:v>0</x:v>
      </x:c>
      <x:c r="V100" s="33" t="n">
        <x:f>IF(AND(L100=0,L99=1),1,0)</x:f>
        <x:v>0</x:v>
      </x:c>
      <x:c r="W100" s="33" t="n">
        <x:f>IF(L100=K99,0,1)</x:f>
        <x:v>0</x:v>
      </x:c>
    </x:row>
    <x:row r="101">
      <x:c r="A101" s="29" t="n">
        <x:v>45994.604166666664</x:v>
      </x:c>
      <x:c r="B101" s="30" t="n">
        <x:v>181.0800018310547</x:v>
      </x:c>
      <x:c r="C101" s="30" t="n">
        <x:v>182.4499969482422</x:v>
      </x:c>
      <x:c r="D101" s="30" t="n">
        <x:v>179.11000061035156</x:v>
      </x:c>
      <x:c r="E101" s="30" t="n">
        <x:v>179.58999633789062</x:v>
      </x:c>
      <x:c r="F101" s="30" t="n">
        <x:v>179.36123657226562</x:v>
      </x:c>
      <x:c r="G101" s="31" t="n">
        <x:v>165138000</x:v>
      </x:c>
      <x:c r="H101" s="32" t="n">
        <x:f>F101/F100-1</x:f>
        <x:v>-0.010305283802814369</x:v>
      </x:c>
      <x:c r="I101" s="35" t="n">
        <x:f>AVERAGE(F82:F101)</x:f>
        <x:v>185.11789627075194</x:v>
      </x:c>
      <x:c r="J101" s="35" t="n">
        <x:f>AVERAGE(F52:F101)</x:f>
        <x:v>186.63695861816407</x:v>
      </x:c>
      <x:c r="K101" s="33" t="n">
        <x:f>IF(COUNT(I101:J101)=2,IF(I101&gt;J101,1,0),0)</x:f>
        <x:v>0</x:v>
      </x:c>
      <x:c r="L101" s="33" t="n">
        <x:f>K100</x:f>
        <x:v>0</x:v>
      </x:c>
      <x:c r="M101" s="36" t="n">
        <x:f>L101*H101-IF(L101&lt;&gt;L100,'Assumptions'!$B$7+'Assumptions'!$B$8,0)</x:f>
        <x:v>-0.001</x:v>
      </x:c>
      <x:c r="N101" s="37" t="n">
        <x:f>N100*(1+M101)</x:f>
        <x:v>0.9652234412678046</x:v>
      </x:c>
      <x:c r="O101" s="36" t="n">
        <x:f>H101</x:f>
        <x:v>-0.010305283802814369</x:v>
      </x:c>
      <x:c r="P101" s="37" t="n">
        <x:f>P100*(1+O101)</x:f>
        <x:v>1.0510868695855715</x:v>
      </x:c>
      <x:c r="Q101" s="34" t="n">
        <x:f>MAX(Q100,N101)</x:f>
        <x:v>1.102391214096513</x:v>
      </x:c>
      <x:c r="R101" s="38" t="n">
        <x:f>N101/Q101-1</x:f>
        <x:v>-0.1244274909621147</x:v>
      </x:c>
      <x:c r="S101" s="39" t="n">
        <x:f>MAX(S100,P101)</x:f>
        <x:v>1.2117435874944003</x:v>
      </x:c>
      <x:c r="T101" s="38" t="n">
        <x:f>P101/S101-1</x:f>
        <x:v>-0.1325830972549472</x:v>
      </x:c>
      <x:c r="U101" s="33" t="n">
        <x:f>IF(AND(L101=1,L100=0),1,0)</x:f>
        <x:v>0</x:v>
      </x:c>
      <x:c r="V101" s="33" t="n">
        <x:f>IF(AND(L101=0,L100=1),1,0)</x:f>
        <x:v>1</x:v>
      </x:c>
      <x:c r="W101" s="33" t="n">
        <x:f>IF(L101=K100,0,1)</x:f>
        <x:v>0</x:v>
      </x:c>
    </x:row>
    <x:row r="102">
      <x:c r="A102" s="29" t="n">
        <x:v>45995.604166666664</x:v>
      </x:c>
      <x:c r="B102" s="30" t="n">
        <x:v>181.6199951171875</x:v>
      </x:c>
      <x:c r="C102" s="30" t="n">
        <x:v>184.52000427246094</x:v>
      </x:c>
      <x:c r="D102" s="30" t="n">
        <x:v>179.9600067138672</x:v>
      </x:c>
      <x:c r="E102" s="30" t="n">
        <x:v>183.3800048828125</x:v>
      </x:c>
      <x:c r="F102" s="30" t="n">
        <x:v>183.1566162109375</x:v>
      </x:c>
      <x:c r="G102" s="31" t="n">
        <x:v>167364900</x:v>
      </x:c>
      <x:c r="H102" s="32" t="n">
        <x:f>F102/F101-1</x:f>
        <x:v>0.021160534523537944</x:v>
      </x:c>
      <x:c r="I102" s="35" t="n">
        <x:f>AVERAGE(F83:F102)</x:f>
        <x:v>184.52765960693358</x:v>
      </x:c>
      <x:c r="J102" s="35" t="n">
        <x:f>AVERAGE(F53:F102)</x:f>
        <x:v>186.76519958496092</x:v>
      </x:c>
      <x:c r="K102" s="33" t="n">
        <x:f>IF(COUNT(I102:J102)=2,IF(I102&gt;J102,1,0),0)</x:f>
        <x:v>0</x:v>
      </x:c>
      <x:c r="L102" s="33" t="n">
        <x:f>K101</x:f>
        <x:v>0</x:v>
      </x:c>
      <x:c r="M102" s="36" t="n">
        <x:f>L102*H102-IF(L102&lt;&gt;L101,'Assumptions'!$B$7+'Assumptions'!$B$8,0)</x:f>
        <x:v>0</x:v>
      </x:c>
      <x:c r="N102" s="37" t="n">
        <x:f>N101*(1+M102)</x:f>
        <x:v>0.9652234412678046</x:v>
      </x:c>
      <x:c r="O102" s="36" t="n">
        <x:f>H102</x:f>
        <x:v>0.021160534523537944</x:v>
      </x:c>
      <x:c r="P102" s="37" t="n">
        <x:f>P101*(1+O102)</x:f>
        <x:v>1.0733284295766745</x:v>
      </x:c>
      <x:c r="Q102" s="34" t="n">
        <x:f>MAX(Q101,N102)</x:f>
        <x:v>1.102391214096513</x:v>
      </x:c>
      <x:c r="R102" s="38" t="n">
        <x:f>N102/Q102-1</x:f>
        <x:v>-0.1244274909621147</x:v>
      </x:c>
      <x:c r="S102" s="39" t="n">
        <x:f>MAX(S101,P102)</x:f>
        <x:v>1.2117435874944003</x:v>
      </x:c>
      <x:c r="T102" s="38" t="n">
        <x:f>P102/S102-1</x:f>
        <x:v>-0.11422809193811012</x:v>
      </x:c>
      <x:c r="U102" s="33" t="n">
        <x:f>IF(AND(L102=1,L101=0),1,0)</x:f>
        <x:v>0</x:v>
      </x:c>
      <x:c r="V102" s="33" t="n">
        <x:f>IF(AND(L102=0,L101=1),1,0)</x:f>
        <x:v>0</x:v>
      </x:c>
      <x:c r="W102" s="33" t="n">
        <x:f>IF(L102=K101,0,1)</x:f>
        <x:v>0</x:v>
      </x:c>
    </x:row>
    <x:row r="103">
      <x:c r="A103" s="29" t="n">
        <x:v>45996.604166666664</x:v>
      </x:c>
      <x:c r="B103" s="30" t="n">
        <x:v>183.88999938964844</x:v>
      </x:c>
      <x:c r="C103" s="30" t="n">
        <x:v>184.66000366210938</x:v>
      </x:c>
      <x:c r="D103" s="30" t="n">
        <x:v>180.91000366210938</x:v>
      </x:c>
      <x:c r="E103" s="30" t="n">
        <x:v>182.41000366210938</x:v>
      </x:c>
      <x:c r="F103" s="30" t="n">
        <x:v>182.1877899169922</x:v>
      </x:c>
      <x:c r="G103" s="31" t="n">
        <x:v>143971100</x:v>
      </x:c>
      <x:c r="H103" s="32" t="n">
        <x:f>F103/F102-1</x:f>
        <x:v>-0.005289605770121497</x:v>
      </x:c>
      <x:c r="I103" s="35" t="n">
        <x:f>AVERAGE(F84:F103)</x:f>
        <x:v>184.245027923584</x:v>
      </x:c>
      <x:c r="J103" s="35" t="n">
        <x:f>AVERAGE(F54:F103)</x:f>
        <x:v>186.85968200683592</x:v>
      </x:c>
      <x:c r="K103" s="33" t="n">
        <x:f>IF(COUNT(I103:J103)=2,IF(I103&gt;J103,1,0),0)</x:f>
        <x:v>0</x:v>
      </x:c>
      <x:c r="L103" s="33" t="n">
        <x:f>K102</x:f>
        <x:v>0</x:v>
      </x:c>
      <x:c r="M103" s="36" t="n">
        <x:f>L103*H103-IF(L103&lt;&gt;L102,'Assumptions'!$B$7+'Assumptions'!$B$8,0)</x:f>
        <x:v>0</x:v>
      </x:c>
      <x:c r="N103" s="37" t="n">
        <x:f>N102*(1+M103)</x:f>
        <x:v>0.9652234412678046</x:v>
      </x:c>
      <x:c r="O103" s="36" t="n">
        <x:f>H103</x:f>
        <x:v>-0.005289605770121497</x:v>
      </x:c>
      <x:c r="P103" s="37" t="n">
        <x:f>P102*(1+O103)</x:f>
        <x:v>1.0676509453223504</x:v>
      </x:c>
      <x:c r="Q103" s="34" t="n">
        <x:f>MAX(Q102,N103)</x:f>
        <x:v>1.102391214096513</x:v>
      </x:c>
      <x:c r="R103" s="38" t="n">
        <x:f>N103/Q103-1</x:f>
        <x:v>-0.1244274909621147</x:v>
      </x:c>
      <x:c r="S103" s="39" t="n">
        <x:f>MAX(S102,P103)</x:f>
        <x:v>1.2117435874944003</x:v>
      </x:c>
      <x:c r="T103" s="38" t="n">
        <x:f>P103/S103-1</x:f>
        <x:v>-0.11891347613400571</x:v>
      </x:c>
      <x:c r="U103" s="33" t="n">
        <x:f>IF(AND(L103=1,L102=0),1,0)</x:f>
        <x:v>0</x:v>
      </x:c>
      <x:c r="V103" s="33" t="n">
        <x:f>IF(AND(L103=0,L102=1),1,0)</x:f>
        <x:v>0</x:v>
      </x:c>
      <x:c r="W103" s="33" t="n">
        <x:f>IF(L103=K102,0,1)</x:f>
        <x:v>0</x:v>
      </x:c>
    </x:row>
    <x:row r="104">
      <x:c r="A104" s="29" t="n">
        <x:v>45999.604166666664</x:v>
      </x:c>
      <x:c r="B104" s="30" t="n">
        <x:v>182.63999938964844</x:v>
      </x:c>
      <x:c r="C104" s="30" t="n">
        <x:v>188</x:v>
      </x:c>
      <x:c r="D104" s="30" t="n">
        <x:v>182.39999389648438</x:v>
      </x:c>
      <x:c r="E104" s="30" t="n">
        <x:v>185.5500030517578</x:v>
      </x:c>
      <x:c r="F104" s="30" t="n">
        <x:v>185.323974609375</x:v>
      </x:c>
      <x:c r="G104" s="31" t="n">
        <x:v>204378100</x:v>
      </x:c>
      <x:c r="H104" s="32" t="n">
        <x:f>F104/F103-1</x:f>
        <x:v>0.017214022376646154</x:v>
      </x:c>
      <x:c r="I104" s="35" t="n">
        <x:f>AVERAGE(F85:F104)</x:f>
        <x:v>184.1157096862793</x:v>
      </x:c>
      <x:c r="J104" s="35" t="n">
        <x:f>AVERAGE(F55:F104)</x:f>
        <x:v>187.0069009399414</x:v>
      </x:c>
      <x:c r="K104" s="33" t="n">
        <x:f>IF(COUNT(I104:J104)=2,IF(I104&gt;J104,1,0),0)</x:f>
        <x:v>0</x:v>
      </x:c>
      <x:c r="L104" s="33" t="n">
        <x:f>K103</x:f>
        <x:v>0</x:v>
      </x:c>
      <x:c r="M104" s="36" t="n">
        <x:f>L104*H104-IF(L104&lt;&gt;L103,'Assumptions'!$B$7+'Assumptions'!$B$8,0)</x:f>
        <x:v>0</x:v>
      </x:c>
      <x:c r="N104" s="37" t="n">
        <x:f>N103*(1+M104)</x:f>
        <x:v>0.9652234412678046</x:v>
      </x:c>
      <x:c r="O104" s="36" t="n">
        <x:f>H104</x:f>
        <x:v>0.017214022376646154</x:v>
      </x:c>
      <x:c r="P104" s="37" t="n">
        <x:f>P103*(1+O104)</x:f>
        <x:v>1.0860295125855768</x:v>
      </x:c>
      <x:c r="Q104" s="34" t="n">
        <x:f>MAX(Q103,N104)</x:f>
        <x:v>1.102391214096513</x:v>
      </x:c>
      <x:c r="R104" s="38" t="n">
        <x:f>N104/Q104-1</x:f>
        <x:v>-0.1244274909621147</x:v>
      </x:c>
      <x:c r="S104" s="39" t="n">
        <x:f>MAX(S103,P104)</x:f>
        <x:v>1.2117435874944003</x:v>
      </x:c>
      <x:c r="T104" s="38" t="n">
        <x:f>P104/S104-1</x:f>
        <x:v>-0.10374643299641506</x:v>
      </x:c>
      <x:c r="U104" s="33" t="n">
        <x:f>IF(AND(L104=1,L103=0),1,0)</x:f>
        <x:v>0</x:v>
      </x:c>
      <x:c r="V104" s="33" t="n">
        <x:f>IF(AND(L104=0,L103=1),1,0)</x:f>
        <x:v>0</x:v>
      </x:c>
      <x:c r="W104" s="33" t="n">
        <x:f>IF(L104=K103,0,1)</x:f>
        <x:v>0</x:v>
      </x:c>
    </x:row>
    <x:row r="105">
      <x:c r="A105" s="29" t="n">
        <x:v>46000.604166666664</x:v>
      </x:c>
      <x:c r="B105" s="30" t="n">
        <x:v>185.55999755859375</x:v>
      </x:c>
      <x:c r="C105" s="30" t="n">
        <x:v>185.72000122070312</x:v>
      </x:c>
      <x:c r="D105" s="30" t="n">
        <x:v>183.32000732421875</x:v>
      </x:c>
      <x:c r="E105" s="30" t="n">
        <x:v>184.97000122070312</x:v>
      </x:c>
      <x:c r="F105" s="30" t="n">
        <x:v>184.7446746826172</x:v>
      </x:c>
      <x:c r="G105" s="31" t="n">
        <x:v>144719700</x:v>
      </x:c>
      <x:c r="H105" s="32" t="n">
        <x:f>F105/F104-1</x:f>
        <x:v>-0.003125876875773148</x:v>
      </x:c>
      <x:c r="I105" s="35" t="n">
        <x:f>AVERAGE(F86:F105)</x:f>
        <x:v>183.4131202697754</x:v>
      </x:c>
      <x:c r="J105" s="35" t="n">
        <x:f>AVERAGE(F56:F105)</x:f>
        <x:v>187.06942687988283</x:v>
      </x:c>
      <x:c r="K105" s="33" t="n">
        <x:f>IF(COUNT(I105:J105)=2,IF(I105&gt;J105,1,0),0)</x:f>
        <x:v>0</x:v>
      </x:c>
      <x:c r="L105" s="33" t="n">
        <x:f>K104</x:f>
        <x:v>0</x:v>
      </x:c>
      <x:c r="M105" s="36" t="n">
        <x:f>L105*H105-IF(L105&lt;&gt;L104,'Assumptions'!$B$7+'Assumptions'!$B$8,0)</x:f>
        <x:v>0</x:v>
      </x:c>
      <x:c r="N105" s="37" t="n">
        <x:f>N104*(1+M105)</x:f>
        <x:v>0.9652234412678046</x:v>
      </x:c>
      <x:c r="O105" s="36" t="n">
        <x:f>H105</x:f>
        <x:v>-0.003125876875773148</x:v>
      </x:c>
      <x:c r="P105" s="37" t="n">
        <x:f>P104*(1+O105)</x:f>
        <x:v>1.0826347180457783</x:v>
      </x:c>
      <x:c r="Q105" s="34" t="n">
        <x:f>MAX(Q104,N105)</x:f>
        <x:v>1.102391214096513</x:v>
      </x:c>
      <x:c r="R105" s="38" t="n">
        <x:f>N105/Q105-1</x:f>
        <x:v>-0.1244274909621147</x:v>
      </x:c>
      <x:c r="S105" s="39" t="n">
        <x:f>MAX(S104,P105)</x:f>
        <x:v>1.2117435874944003</x:v>
      </x:c>
      <x:c r="T105" s="38" t="n">
        <x:f>P105/S105-1</x:f>
        <x:v>-0.10654801129634084</x:v>
      </x:c>
      <x:c r="U105" s="33" t="n">
        <x:f>IF(AND(L105=1,L104=0),1,0)</x:f>
        <x:v>0</x:v>
      </x:c>
      <x:c r="V105" s="33" t="n">
        <x:f>IF(AND(L105=0,L104=1),1,0)</x:f>
        <x:v>0</x:v>
      </x:c>
      <x:c r="W105" s="33" t="n">
        <x:f>IF(L105=K104,0,1)</x:f>
        <x:v>0</x:v>
      </x:c>
    </x:row>
    <x:row r="106">
      <x:c r="A106" s="29" t="n">
        <x:v>46001.604166666664</x:v>
      </x:c>
      <x:c r="B106" s="30" t="n">
        <x:v>184.97000122070312</x:v>
      </x:c>
      <x:c r="C106" s="30" t="n">
        <x:v>185.47999572753906</x:v>
      </x:c>
      <x:c r="D106" s="30" t="n">
        <x:v>182.0399932861328</x:v>
      </x:c>
      <x:c r="E106" s="30" t="n">
        <x:v>183.77999877929688</x:v>
      </x:c>
      <x:c r="F106" s="30" t="n">
        <x:v>183.55612182617188</x:v>
      </x:c>
      <x:c r="G106" s="31" t="n">
        <x:v>162785400</x:v>
      </x:c>
      <x:c r="H106" s="32" t="n">
        <x:f>F106/F105-1</x:f>
        <x:v>-0.006433489130266867</x:v>
      </x:c>
      <x:c r="I106" s="35" t="n">
        <x:f>AVERAGE(F87:F106)</x:f>
        <x:v>182.94522857666016</x:v>
      </x:c>
      <x:c r="J106" s="35" t="n">
        <x:f>AVERAGE(F57:F106)</x:f>
        <x:v>187.0137026977539</x:v>
      </x:c>
      <x:c r="K106" s="33" t="n">
        <x:f>IF(COUNT(I106:J106)=2,IF(I106&gt;J106,1,0),0)</x:f>
        <x:v>0</x:v>
      </x:c>
      <x:c r="L106" s="33" t="n">
        <x:f>K105</x:f>
        <x:v>0</x:v>
      </x:c>
      <x:c r="M106" s="36" t="n">
        <x:f>L106*H106-IF(L106&lt;&gt;L105,'Assumptions'!$B$7+'Assumptions'!$B$8,0)</x:f>
        <x:v>0</x:v>
      </x:c>
      <x:c r="N106" s="37" t="n">
        <x:f>N105*(1+M106)</x:f>
        <x:v>0.9652234412678046</x:v>
      </x:c>
      <x:c r="O106" s="36" t="n">
        <x:f>H106</x:f>
        <x:v>-0.006433489130266867</x:v>
      </x:c>
      <x:c r="P106" s="37" t="n">
        <x:f>P105*(1+O106)</x:f>
        <x:v>1.0756695993551812</x:v>
      </x:c>
      <x:c r="Q106" s="34" t="n">
        <x:f>MAX(Q105,N106)</x:f>
        <x:v>1.102391214096513</x:v>
      </x:c>
      <x:c r="R106" s="38" t="n">
        <x:f>N106/Q106-1</x:f>
        <x:v>-0.1244274909621147</x:v>
      </x:c>
      <x:c r="S106" s="39" t="n">
        <x:f>MAX(S105,P106)</x:f>
        <x:v>1.2117435874944003</x:v>
      </x:c>
      <x:c r="T106" s="38" t="n">
        <x:f>P106/S106-1</x:f>
        <x:v>-0.1122960249540812</x:v>
      </x:c>
      <x:c r="U106" s="33" t="n">
        <x:f>IF(AND(L106=1,L105=0),1,0)</x:f>
        <x:v>0</x:v>
      </x:c>
      <x:c r="V106" s="33" t="n">
        <x:f>IF(AND(L106=0,L105=1),1,0)</x:f>
        <x:v>0</x:v>
      </x:c>
      <x:c r="W106" s="33" t="n">
        <x:f>IF(L106=K105,0,1)</x:f>
        <x:v>0</x:v>
      </x:c>
    </x:row>
    <x:row r="107">
      <x:c r="A107" s="29" t="n">
        <x:v>46002.604166666664</x:v>
      </x:c>
      <x:c r="B107" s="30" t="n">
        <x:v>180.27999877929688</x:v>
      </x:c>
      <x:c r="C107" s="30" t="n">
        <x:v>181.32000732421875</x:v>
      </x:c>
      <x:c r="D107" s="30" t="n">
        <x:v>176.6199951171875</x:v>
      </x:c>
      <x:c r="E107" s="30" t="n">
        <x:v>180.92999267578125</x:v>
      </x:c>
      <x:c r="F107" s="30" t="n">
        <x:v>180.70957946777344</x:v>
      </x:c>
      <x:c r="G107" s="31" t="n">
        <x:v>182136600</x:v>
      </x:c>
      <x:c r="H107" s="32" t="n">
        <x:f>F107/F106-1</x:f>
        <x:v>-0.015507749510496383</x:v>
      </x:c>
      <x:c r="I107" s="35" t="n">
        <x:f>AVERAGE(F88:F107)</x:f>
        <x:v>182.30305023193358</x:v>
      </x:c>
      <x:c r="J107" s="35" t="n">
        <x:f>AVERAGE(F58:F107)</x:f>
        <x:v>186.8878643798828</x:v>
      </x:c>
      <x:c r="K107" s="33" t="n">
        <x:f>IF(COUNT(I107:J107)=2,IF(I107&gt;J107,1,0),0)</x:f>
        <x:v>0</x:v>
      </x:c>
      <x:c r="L107" s="33" t="n">
        <x:f>K106</x:f>
        <x:v>0</x:v>
      </x:c>
      <x:c r="M107" s="36" t="n">
        <x:f>L107*H107-IF(L107&lt;&gt;L106,'Assumptions'!$B$7+'Assumptions'!$B$8,0)</x:f>
        <x:v>0</x:v>
      </x:c>
      <x:c r="N107" s="37" t="n">
        <x:f>N106*(1+M107)</x:f>
        <x:v>0.9652234412678046</x:v>
      </x:c>
      <x:c r="O107" s="36" t="n">
        <x:f>H107</x:f>
        <x:v>-0.015507749510496383</x:v>
      </x:c>
      <x:c r="P107" s="37" t="n">
        <x:f>P106*(1+O107)</x:f>
        <x:v>1.0589883846523251</x:v>
      </x:c>
      <x:c r="Q107" s="34" t="n">
        <x:f>MAX(Q106,N107)</x:f>
        <x:v>1.102391214096513</x:v>
      </x:c>
      <x:c r="R107" s="38" t="n">
        <x:f>N107/Q107-1</x:f>
        <x:v>-0.1244274909621147</x:v>
      </x:c>
      <x:c r="S107" s="39" t="n">
        <x:f>MAX(S106,P107)</x:f>
        <x:v>1.2117435874944003</x:v>
      </x:c>
      <x:c r="T107" s="38" t="n">
        <x:f>P107/S107-1</x:f>
        <x:v>-0.1260623158385652</x:v>
      </x:c>
      <x:c r="U107" s="33" t="n">
        <x:f>IF(AND(L107=1,L106=0),1,0)</x:f>
        <x:v>0</x:v>
      </x:c>
      <x:c r="V107" s="33" t="n">
        <x:f>IF(AND(L107=0,L106=1),1,0)</x:f>
        <x:v>0</x:v>
      </x:c>
      <x:c r="W107" s="33" t="n">
        <x:f>IF(L107=K106,0,1)</x:f>
        <x:v>0</x:v>
      </x:c>
    </x:row>
    <x:row r="108">
      <x:c r="A108" s="29" t="n">
        <x:v>46003.604166666664</x:v>
      </x:c>
      <x:c r="B108" s="30" t="n">
        <x:v>181.11000061035156</x:v>
      </x:c>
      <x:c r="C108" s="30" t="n">
        <x:v>182.82000732421875</x:v>
      </x:c>
      <x:c r="D108" s="30" t="n">
        <x:v>174.6199951171875</x:v>
      </x:c>
      <x:c r="E108" s="30" t="n">
        <x:v>175.02000427246094</x:v>
      </x:c>
      <x:c r="F108" s="30" t="n">
        <x:v>174.80679321289062</x:v>
      </x:c>
      <x:c r="G108" s="31" t="n">
        <x:v>204274900</x:v>
      </x:c>
      <x:c r="H108" s="32" t="n">
        <x:f>F108/F107-1</x:f>
        <x:v>-0.03266449001911087</x:v>
      </x:c>
      <x:c r="I108" s="35" t="n">
        <x:f>AVERAGE(F89:F108)</x:f>
        <x:v>181.7122917175293</x:v>
      </x:c>
      <x:c r="J108" s="35" t="n">
        <x:f>AVERAGE(F59:F108)</x:f>
        <x:v>186.61101226806642</x:v>
      </x:c>
      <x:c r="K108" s="33" t="n">
        <x:f>IF(COUNT(I108:J108)=2,IF(I108&gt;J108,1,0),0)</x:f>
        <x:v>0</x:v>
      </x:c>
      <x:c r="L108" s="33" t="n">
        <x:f>K107</x:f>
        <x:v>0</x:v>
      </x:c>
      <x:c r="M108" s="36" t="n">
        <x:f>L108*H108-IF(L108&lt;&gt;L107,'Assumptions'!$B$7+'Assumptions'!$B$8,0)</x:f>
        <x:v>0</x:v>
      </x:c>
      <x:c r="N108" s="37" t="n">
        <x:f>N107*(1+M108)</x:f>
        <x:v>0.9652234412678046</x:v>
      </x:c>
      <x:c r="O108" s="36" t="n">
        <x:f>H108</x:f>
        <x:v>-0.03266449001911087</x:v>
      </x:c>
      <x:c r="P108" s="37" t="n">
        <x:f>P107*(1+O108)</x:f>
        <x:v>1.024397069131495</x:v>
      </x:c>
      <x:c r="Q108" s="34" t="n">
        <x:f>MAX(Q107,N108)</x:f>
        <x:v>1.102391214096513</x:v>
      </x:c>
      <x:c r="R108" s="38" t="n">
        <x:f>N108/Q108-1</x:f>
        <x:v>-0.1244274909621147</x:v>
      </x:c>
      <x:c r="S108" s="39" t="n">
        <x:f>MAX(S107,P108)</x:f>
        <x:v>1.2117435874944003</x:v>
      </x:c>
      <x:c r="T108" s="38" t="n">
        <x:f>P108/S108-1</x:f>
        <x:v>-0.1546090446001812</x:v>
      </x:c>
      <x:c r="U108" s="33" t="n">
        <x:f>IF(AND(L108=1,L107=0),1,0)</x:f>
        <x:v>0</x:v>
      </x:c>
      <x:c r="V108" s="33" t="n">
        <x:f>IF(AND(L108=0,L107=1),1,0)</x:f>
        <x:v>0</x:v>
      </x:c>
      <x:c r="W108" s="33" t="n">
        <x:f>IF(L108=K107,0,1)</x:f>
        <x:v>0</x:v>
      </x:c>
    </x:row>
    <x:row r="109">
      <x:c r="A109" s="29" t="n">
        <x:v>46006.604166666664</x:v>
      </x:c>
      <x:c r="B109" s="30" t="n">
        <x:v>177.94000244140625</x:v>
      </x:c>
      <x:c r="C109" s="30" t="n">
        <x:v>178.4199981689453</x:v>
      </x:c>
      <x:c r="D109" s="30" t="n">
        <x:v>175.02999877929688</x:v>
      </x:c>
      <x:c r="E109" s="30" t="n">
        <x:v>176.2899932861328</x:v>
      </x:c>
      <x:c r="F109" s="30" t="n">
        <x:v>176.0752410888672</x:v>
      </x:c>
      <x:c r="G109" s="31" t="n">
        <x:v>164775600</x:v>
      </x:c>
      <x:c r="H109" s="32" t="n">
        <x:f>F109/F108-1</x:f>
        <x:v>0.0072562847968487</x:v>
      </x:c>
      <x:c r="I109" s="35" t="n">
        <x:f>AVERAGE(F90:F109)</x:f>
        <x:v>181.0196662902832</x:v>
      </x:c>
      <x:c r="J109" s="35" t="n">
        <x:f>AVERAGE(F60:F109)</x:f>
        <x:v>186.38489685058593</x:v>
      </x:c>
      <x:c r="K109" s="33" t="n">
        <x:f>IF(COUNT(I109:J109)=2,IF(I109&gt;J109,1,0),0)</x:f>
        <x:v>0</x:v>
      </x:c>
      <x:c r="L109" s="33" t="n">
        <x:f>K108</x:f>
        <x:v>0</x:v>
      </x:c>
      <x:c r="M109" s="36" t="n">
        <x:f>L109*H109-IF(L109&lt;&gt;L108,'Assumptions'!$B$7+'Assumptions'!$B$8,0)</x:f>
        <x:v>0</x:v>
      </x:c>
      <x:c r="N109" s="37" t="n">
        <x:f>N108*(1+M109)</x:f>
        <x:v>0.9652234412678046</x:v>
      </x:c>
      <x:c r="O109" s="36" t="n">
        <x:f>H109</x:f>
        <x:v>0.0072562847968487</x:v>
      </x:c>
      <x:c r="P109" s="37" t="n">
        <x:f>P108*(1+O109)</x:f>
        <x:v>1.0318303860101703</x:v>
      </x:c>
      <x:c r="Q109" s="34" t="n">
        <x:f>MAX(Q108,N109)</x:f>
        <x:v>1.102391214096513</x:v>
      </x:c>
      <x:c r="R109" s="38" t="n">
        <x:f>N109/Q109-1</x:f>
        <x:v>-0.1244274909621147</x:v>
      </x:c>
      <x:c r="S109" s="39" t="n">
        <x:f>MAX(S108,P109)</x:f>
        <x:v>1.2117435874944003</x:v>
      </x:c>
      <x:c r="T109" s="38" t="n">
        <x:f>P109/S109-1</x:f>
        <x:v>-0.14847464706311997</x:v>
      </x:c>
      <x:c r="U109" s="33" t="n">
        <x:f>IF(AND(L109=1,L108=0),1,0)</x:f>
        <x:v>0</x:v>
      </x:c>
      <x:c r="V109" s="33" t="n">
        <x:f>IF(AND(L109=0,L108=1),1,0)</x:f>
        <x:v>0</x:v>
      </x:c>
      <x:c r="W109" s="33" t="n">
        <x:f>IF(L109=K108,0,1)</x:f>
        <x:v>0</x:v>
      </x:c>
    </x:row>
    <x:row r="110">
      <x:c r="A110" s="29" t="n">
        <x:v>46007.604166666664</x:v>
      </x:c>
      <x:c r="B110" s="30" t="n">
        <x:v>176.25999450683594</x:v>
      </x:c>
      <x:c r="C110" s="30" t="n">
        <x:v>178.49000549316406</x:v>
      </x:c>
      <x:c r="D110" s="30" t="n">
        <x:v>174.89999389648438</x:v>
      </x:c>
      <x:c r="E110" s="30" t="n">
        <x:v>177.72000122070312</x:v>
      </x:c>
      <x:c r="F110" s="30" t="n">
        <x:v>177.50350952148438</x:v>
      </x:c>
      <x:c r="G110" s="31" t="n">
        <x:v>148588100</x:v>
      </x:c>
      <x:c r="H110" s="32" t="n">
        <x:f>F110/F109-1</x:f>
        <x:v>0.008111693749698334</x:v>
      </x:c>
      <x:c r="I110" s="35" t="n">
        <x:f>AVERAGE(F91:F110)</x:f>
        <x:v>180.57672653198242</x:v>
      </x:c>
      <x:c r="J110" s="35" t="n">
        <x:f>AVERAGE(F61:F110)</x:f>
        <x:v>186.22889404296876</x:v>
      </x:c>
      <x:c r="K110" s="33" t="n">
        <x:f>IF(COUNT(I110:J110)=2,IF(I110&gt;J110,1,0),0)</x:f>
        <x:v>0</x:v>
      </x:c>
      <x:c r="L110" s="33" t="n">
        <x:f>K109</x:f>
        <x:v>0</x:v>
      </x:c>
      <x:c r="M110" s="36" t="n">
        <x:f>L110*H110-IF(L110&lt;&gt;L109,'Assumptions'!$B$7+'Assumptions'!$B$8,0)</x:f>
        <x:v>0</x:v>
      </x:c>
      <x:c r="N110" s="37" t="n">
        <x:f>N109*(1+M110)</x:f>
        <x:v>0.9652234412678046</x:v>
      </x:c>
      <x:c r="O110" s="36" t="n">
        <x:f>H110</x:f>
        <x:v>0.008111693749698334</x:v>
      </x:c>
      <x:c r="P110" s="37" t="n">
        <x:f>P109*(1+O110)</x:f>
        <x:v>1.0402002781031179</x:v>
      </x:c>
      <x:c r="Q110" s="34" t="n">
        <x:f>MAX(Q109,N110)</x:f>
        <x:v>1.102391214096513</x:v>
      </x:c>
      <x:c r="R110" s="38" t="n">
        <x:f>N110/Q110-1</x:f>
        <x:v>-0.1244274909621147</x:v>
      </x:c>
      <x:c r="S110" s="39" t="n">
        <x:f>MAX(S109,P110)</x:f>
        <x:v>1.2117435874944003</x:v>
      </x:c>
      <x:c r="T110" s="38" t="n">
        <x:f>P110/S110-1</x:f>
        <x:v>-0.14156733417999223</x:v>
      </x:c>
      <x:c r="U110" s="33" t="n">
        <x:f>IF(AND(L110=1,L109=0),1,0)</x:f>
        <x:v>0</x:v>
      </x:c>
      <x:c r="V110" s="33" t="n">
        <x:f>IF(AND(L110=0,L109=1),1,0)</x:f>
        <x:v>0</x:v>
      </x:c>
      <x:c r="W110" s="33" t="n">
        <x:f>IF(L110=K109,0,1)</x:f>
        <x:v>0</x:v>
      </x:c>
    </x:row>
    <x:row r="111">
      <x:c r="A111" s="29" t="n">
        <x:v>46008.604166666664</x:v>
      </x:c>
      <x:c r="B111" s="30" t="n">
        <x:v>176.10000610351562</x:v>
      </x:c>
      <x:c r="C111" s="30" t="n">
        <x:v>176.1300048828125</x:v>
      </x:c>
      <x:c r="D111" s="30" t="n">
        <x:v>170.30999755859375</x:v>
      </x:c>
      <x:c r="E111" s="30" t="n">
        <x:v>170.94000244140625</x:v>
      </x:c>
      <x:c r="F111" s="30" t="n">
        <x:v>170.7317657470703</x:v>
      </x:c>
      <x:c r="G111" s="31" t="n">
        <x:v>222775500</x:v>
      </x:c>
      <x:c r="H111" s="32" t="n">
        <x:f>F111/F110-1</x:f>
        <x:v>-0.03814991485334229</x:v>
      </x:c>
      <x:c r="I111" s="35" t="n">
        <x:f>AVERAGE(F92:F111)</x:f>
        <x:v>180.05686569213867</x:v>
      </x:c>
      <x:c r="J111" s="35" t="n">
        <x:f>AVERAGE(F62:F111)</x:f>
        <x:v>185.94744354248047</x:v>
      </x:c>
      <x:c r="K111" s="33" t="n">
        <x:f>IF(COUNT(I111:J111)=2,IF(I111&gt;J111,1,0),0)</x:f>
        <x:v>0</x:v>
      </x:c>
      <x:c r="L111" s="33" t="n">
        <x:f>K110</x:f>
        <x:v>0</x:v>
      </x:c>
      <x:c r="M111" s="36" t="n">
        <x:f>L111*H111-IF(L111&lt;&gt;L110,'Assumptions'!$B$7+'Assumptions'!$B$8,0)</x:f>
        <x:v>0</x:v>
      </x:c>
      <x:c r="N111" s="37" t="n">
        <x:f>N110*(1+M111)</x:f>
        <x:v>0.9652234412678046</x:v>
      </x:c>
      <x:c r="O111" s="36" t="n">
        <x:f>H111</x:f>
        <x:v>-0.03814991485334229</x:v>
      </x:c>
      <x:c r="P111" s="37" t="n">
        <x:f>P110*(1+O111)</x:f>
        <x:v>1.000516726063061</x:v>
      </x:c>
      <x:c r="Q111" s="34" t="n">
        <x:f>MAX(Q110,N111)</x:f>
        <x:v>1.102391214096513</x:v>
      </x:c>
      <x:c r="R111" s="38" t="n">
        <x:f>N111/Q111-1</x:f>
        <x:v>-0.1244274909621147</x:v>
      </x:c>
      <x:c r="S111" s="39" t="n">
        <x:f>MAX(S110,P111)</x:f>
        <x:v>1.2117435874944003</x:v>
      </x:c>
      <x:c r="T111" s="38" t="n">
        <x:f>P111/S111-1</x:f>
        <x:v>-0.17431646728835315</x:v>
      </x:c>
      <x:c r="U111" s="33" t="n">
        <x:f>IF(AND(L111=1,L110=0),1,0)</x:f>
        <x:v>0</x:v>
      </x:c>
      <x:c r="V111" s="33" t="n">
        <x:f>IF(AND(L111=0,L110=1),1,0)</x:f>
        <x:v>0</x:v>
      </x:c>
      <x:c r="W111" s="33" t="n">
        <x:f>IF(L111=K110,0,1)</x:f>
        <x:v>0</x:v>
      </x:c>
    </x:row>
    <x:row r="112">
      <x:c r="A112" s="29" t="n">
        <x:v>46009.604166666664</x:v>
      </x:c>
      <x:c r="B112" s="30" t="n">
        <x:v>174.52999877929688</x:v>
      </x:c>
      <x:c r="C112" s="30" t="n">
        <x:v>176.14999389648438</x:v>
      </x:c>
      <x:c r="D112" s="30" t="n">
        <x:v>171.82000732421875</x:v>
      </x:c>
      <x:c r="E112" s="30" t="n">
        <x:v>174.13999938964844</x:v>
      </x:c>
      <x:c r="F112" s="30" t="n">
        <x:v>173.9278564453125</x:v>
      </x:c>
      <x:c r="G112" s="31" t="n">
        <x:v>176096000</x:v>
      </x:c>
      <x:c r="H112" s="32" t="n">
        <x:f>F112/F111-1</x:f>
        <x:v>0.018719953397407174</x:v>
      </x:c>
      <x:c r="I112" s="35" t="n">
        <x:f>AVERAGE(F93:F112)</x:f>
        <x:v>179.43913803100585</x:v>
      </x:c>
      <x:c r="J112" s="35" t="n">
        <x:f>AVERAGE(F63:F112)</x:f>
        <x:v>185.64861846923827</x:v>
      </x:c>
      <x:c r="K112" s="33" t="n">
        <x:f>IF(COUNT(I112:J112)=2,IF(I112&gt;J112,1,0),0)</x:f>
        <x:v>0</x:v>
      </x:c>
      <x:c r="L112" s="33" t="n">
        <x:f>K111</x:f>
        <x:v>0</x:v>
      </x:c>
      <x:c r="M112" s="36" t="n">
        <x:f>L112*H112-IF(L112&lt;&gt;L111,'Assumptions'!$B$7+'Assumptions'!$B$8,0)</x:f>
        <x:v>0</x:v>
      </x:c>
      <x:c r="N112" s="37" t="n">
        <x:f>N111*(1+M112)</x:f>
        <x:v>0.9652234412678046</x:v>
      </x:c>
      <x:c r="O112" s="36" t="n">
        <x:f>H112</x:f>
        <x:v>0.018719953397407174</x:v>
      </x:c>
      <x:c r="P112" s="37" t="n">
        <x:f>P111*(1+O112)</x:f>
        <x:v>1.0192463525482878</x:v>
      </x:c>
      <x:c r="Q112" s="34" t="n">
        <x:f>MAX(Q111,N112)</x:f>
        <x:v>1.102391214096513</x:v>
      </x:c>
      <x:c r="R112" s="38" t="n">
        <x:f>N112/Q112-1</x:f>
        <x:v>-0.1244274909621147</x:v>
      </x:c>
      <x:c r="S112" s="39" t="n">
        <x:f>MAX(S111,P112)</x:f>
        <x:v>1.2117435874944003</x:v>
      </x:c>
      <x:c r="T112" s="38" t="n">
        <x:f>P112/S112-1</x:f>
        <x:v>-0.15885971003498467</x:v>
      </x:c>
      <x:c r="U112" s="33" t="n">
        <x:f>IF(AND(L112=1,L111=0),1,0)</x:f>
        <x:v>0</x:v>
      </x:c>
      <x:c r="V112" s="33" t="n">
        <x:f>IF(AND(L112=0,L111=1),1,0)</x:f>
        <x:v>0</x:v>
      </x:c>
      <x:c r="W112" s="33" t="n">
        <x:f>IF(L112=K111,0,1)</x:f>
        <x:v>0</x:v>
      </x:c>
    </x:row>
    <x:row r="113">
      <x:c r="A113" s="29" t="n">
        <x:v>46010.604166666664</x:v>
      </x:c>
      <x:c r="B113" s="30" t="n">
        <x:v>176.6699981689453</x:v>
      </x:c>
      <x:c r="C113" s="30" t="n">
        <x:v>181.4499969482422</x:v>
      </x:c>
      <x:c r="D113" s="30" t="n">
        <x:v>176.33999633789062</x:v>
      </x:c>
      <x:c r="E113" s="30" t="n">
        <x:v>180.99000549316406</x:v>
      </x:c>
      <x:c r="F113" s="30" t="n">
        <x:v>180.76951599121094</x:v>
      </x:c>
      <x:c r="G113" s="31" t="n">
        <x:v>324925900</x:v>
      </x:c>
      <x:c r="H113" s="32" t="n">
        <x:f>F113/F112-1</x:f>
        <x:v>0.039336191946053534</x:v>
      </x:c>
      <x:c r="I113" s="35" t="n">
        <x:f>AVERAGE(F94:F113)</x:f>
        <x:v>179.4571189880371</x:v>
      </x:c>
      <x:c r="J113" s="35" t="n">
        <x:f>AVERAGE(F64:F113)</x:f>
        <x:v>185.4175146484375</x:v>
      </x:c>
      <x:c r="K113" s="33" t="n">
        <x:f>IF(COUNT(I113:J113)=2,IF(I113&gt;J113,1,0),0)</x:f>
        <x:v>0</x:v>
      </x:c>
      <x:c r="L113" s="33" t="n">
        <x:f>K112</x:f>
        <x:v>0</x:v>
      </x:c>
      <x:c r="M113" s="36" t="n">
        <x:f>L113*H113-IF(L113&lt;&gt;L112,'Assumptions'!$B$7+'Assumptions'!$B$8,0)</x:f>
        <x:v>0</x:v>
      </x:c>
      <x:c r="N113" s="37" t="n">
        <x:f>N112*(1+M113)</x:f>
        <x:v>0.9652234412678046</x:v>
      </x:c>
      <x:c r="O113" s="36" t="n">
        <x:f>H113</x:f>
        <x:v>0.039336191946053534</x:v>
      </x:c>
      <x:c r="P113" s="37" t="n">
        <x:f>P112*(1+O113)</x:f>
        <x:v>1.059339622712442</x:v>
      </x:c>
      <x:c r="Q113" s="34" t="n">
        <x:f>MAX(Q112,N113)</x:f>
        <x:v>1.102391214096513</x:v>
      </x:c>
      <x:c r="R113" s="38" t="n">
        <x:f>N113/Q113-1</x:f>
        <x:v>-0.1244274909621147</x:v>
      </x:c>
      <x:c r="S113" s="39" t="n">
        <x:f>MAX(S112,P113)</x:f>
        <x:v>1.2117435874944003</x:v>
      </x:c>
      <x:c r="T113" s="38" t="n">
        <x:f>P113/S113-1</x:f>
        <x:v>-0.12577245413536176</x:v>
      </x:c>
      <x:c r="U113" s="33" t="n">
        <x:f>IF(AND(L113=1,L112=0),1,0)</x:f>
        <x:v>0</x:v>
      </x:c>
      <x:c r="V113" s="33" t="n">
        <x:f>IF(AND(L113=0,L112=1),1,0)</x:f>
        <x:v>0</x:v>
      </x:c>
      <x:c r="W113" s="33" t="n">
        <x:f>IF(L113=K112,0,1)</x:f>
        <x:v>0</x:v>
      </x:c>
    </x:row>
    <x:row r="114">
      <x:c r="A114" s="29" t="n">
        <x:v>46013.604166666664</x:v>
      </x:c>
      <x:c r="B114" s="30" t="n">
        <x:v>183.9199981689453</x:v>
      </x:c>
      <x:c r="C114" s="30" t="n">
        <x:v>184.16000366210938</x:v>
      </x:c>
      <x:c r="D114" s="30" t="n">
        <x:v>182.35000610351562</x:v>
      </x:c>
      <x:c r="E114" s="30" t="n">
        <x:v>183.69000244140625</x:v>
      </x:c>
      <x:c r="F114" s="30" t="n">
        <x:v>183.4662322998047</x:v>
      </x:c>
      <x:c r="G114" s="31" t="n">
        <x:v>129064400</x:v>
      </x:c>
      <x:c r="H114" s="32" t="n">
        <x:f>F114/F113-1</x:f>
        <x:v>0.014917981573424388</x:v>
      </x:c>
      <x:c r="I114" s="35" t="n">
        <x:f>AVERAGE(F95:F114)</x:f>
        <x:v>179.69782333374025</x:v>
      </x:c>
      <x:c r="J114" s="35" t="n">
        <x:f>AVERAGE(F65:F114)</x:f>
        <x:v>185.42830535888672</x:v>
      </x:c>
      <x:c r="K114" s="33" t="n">
        <x:f>IF(COUNT(I114:J114)=2,IF(I114&gt;J114,1,0),0)</x:f>
        <x:v>0</x:v>
      </x:c>
      <x:c r="L114" s="33" t="n">
        <x:f>K113</x:f>
        <x:v>0</x:v>
      </x:c>
      <x:c r="M114" s="36" t="n">
        <x:f>L114*H114-IF(L114&lt;&gt;L113,'Assumptions'!$B$7+'Assumptions'!$B$8,0)</x:f>
        <x:v>0</x:v>
      </x:c>
      <x:c r="N114" s="37" t="n">
        <x:f>N113*(1+M114)</x:f>
        <x:v>0.9652234412678046</x:v>
      </x:c>
      <x:c r="O114" s="36" t="n">
        <x:f>H114</x:f>
        <x:v>0.014917981573424388</x:v>
      </x:c>
      <x:c r="P114" s="37" t="n">
        <x:f>P113*(1+O114)</x:f>
        <x:v>1.0751428316840645</x:v>
      </x:c>
      <x:c r="Q114" s="34" t="n">
        <x:f>MAX(Q113,N114)</x:f>
        <x:v>1.102391214096513</x:v>
      </x:c>
      <x:c r="R114" s="38" t="n">
        <x:f>N114/Q114-1</x:f>
        <x:v>-0.1244274909621147</x:v>
      </x:c>
      <x:c r="S114" s="39" t="n">
        <x:f>MAX(S113,P114)</x:f>
        <x:v>1.2117435874944003</x:v>
      </x:c>
      <x:c r="T114" s="38" t="n">
        <x:f>P114/S114-1</x:f>
        <x:v>-0.11273074371517311</x:v>
      </x:c>
      <x:c r="U114" s="33" t="n">
        <x:f>IF(AND(L114=1,L113=0),1,0)</x:f>
        <x:v>0</x:v>
      </x:c>
      <x:c r="V114" s="33" t="n">
        <x:f>IF(AND(L114=0,L113=1),1,0)</x:f>
        <x:v>0</x:v>
      </x:c>
      <x:c r="W114" s="33" t="n">
        <x:f>IF(L114=K113,0,1)</x:f>
        <x:v>0</x:v>
      </x:c>
    </x:row>
    <x:row r="115">
      <x:c r="A115" s="29" t="n">
        <x:v>46014.604166666664</x:v>
      </x:c>
      <x:c r="B115" s="30" t="n">
        <x:v>182.97000122070312</x:v>
      </x:c>
      <x:c r="C115" s="30" t="n">
        <x:v>189.3300018310547</x:v>
      </x:c>
      <x:c r="D115" s="30" t="n">
        <x:v>182.89999389648438</x:v>
      </x:c>
      <x:c r="E115" s="30" t="n">
        <x:v>189.2100067138672</x:v>
      </x:c>
      <x:c r="F115" s="30" t="n">
        <x:v>188.97950744628906</x:v>
      </x:c>
      <x:c r="G115" s="31" t="n">
        <x:v>174873600</x:v>
      </x:c>
      <x:c r="H115" s="32" t="n">
        <x:f>F115/F114-1</x:f>
        <x:v>0.030050626087284815</x:v>
      </x:c>
      <x:c r="I115" s="35" t="n">
        <x:f>AVERAGE(F96:F115)</x:f>
        <x:v>180.03092498779296</x:v>
      </x:c>
      <x:c r="J115" s="35" t="n">
        <x:f>AVERAGE(F66:F115)</x:f>
        <x:v>185.44629302978515</x:v>
      </x:c>
      <x:c r="K115" s="33" t="n">
        <x:f>IF(COUNT(I115:J115)=2,IF(I115&gt;J115,1,0),0)</x:f>
        <x:v>0</x:v>
      </x:c>
      <x:c r="L115" s="33" t="n">
        <x:f>K114</x:f>
        <x:v>0</x:v>
      </x:c>
      <x:c r="M115" s="36" t="n">
        <x:f>L115*H115-IF(L115&lt;&gt;L114,'Assumptions'!$B$7+'Assumptions'!$B$8,0)</x:f>
        <x:v>0</x:v>
      </x:c>
      <x:c r="N115" s="37" t="n">
        <x:f>N114*(1+M115)</x:f>
        <x:v>0.9652234412678046</x:v>
      </x:c>
      <x:c r="O115" s="36" t="n">
        <x:f>H115</x:f>
        <x:v>0.030050626087284815</x:v>
      </x:c>
      <x:c r="P115" s="37" t="n">
        <x:f>P114*(1+O115)</x:f>
        <x:v>1.107451546909427</x:v>
      </x:c>
      <x:c r="Q115" s="34" t="n">
        <x:f>MAX(Q114,N115)</x:f>
        <x:v>1.102391214096513</x:v>
      </x:c>
      <x:c r="R115" s="38" t="n">
        <x:f>N115/Q115-1</x:f>
        <x:v>-0.1244274909621147</x:v>
      </x:c>
      <x:c r="S115" s="39" t="n">
        <x:f>MAX(S114,P115)</x:f>
        <x:v>1.2117435874944003</x:v>
      </x:c>
      <x:c r="T115" s="38" t="n">
        <x:f>P115/S115-1</x:f>
        <x:v>-0.08606774705581444</x:v>
      </x:c>
      <x:c r="U115" s="33" t="n">
        <x:f>IF(AND(L115=1,L114=0),1,0)</x:f>
        <x:v>0</x:v>
      </x:c>
      <x:c r="V115" s="33" t="n">
        <x:f>IF(AND(L115=0,L114=1),1,0)</x:f>
        <x:v>0</x:v>
      </x:c>
      <x:c r="W115" s="33" t="n">
        <x:f>IF(L115=K114,0,1)</x:f>
        <x:v>0</x:v>
      </x:c>
    </x:row>
    <x:row r="116">
      <x:c r="A116" s="29" t="n">
        <x:v>46015.604166666664</x:v>
      </x:c>
      <x:c r="B116" s="30" t="n">
        <x:v>187.94000244140625</x:v>
      </x:c>
      <x:c r="C116" s="30" t="n">
        <x:v>188.91000366210938</x:v>
      </x:c>
      <x:c r="D116" s="30" t="n">
        <x:v>186.58999633789062</x:v>
      </x:c>
      <x:c r="E116" s="30" t="n">
        <x:v>188.61000061035156</x:v>
      </x:c>
      <x:c r="F116" s="30" t="n">
        <x:v>188.38023376464844</x:v>
      </x:c>
      <x:c r="G116" s="31" t="n">
        <x:v>65528500</x:v>
      </x:c>
      <x:c r="H116" s="32" t="n">
        <x:f>F116/F115-1</x:f>
        <x:v>-0.0031711040511148703</x:v>
      </x:c>
      <x:c r="I116" s="35" t="n">
        <x:f>AVERAGE(F97:F116)</x:f>
        <x:v>180.57026214599608</x:v>
      </x:c>
      <x:c r="J116" s="35" t="n">
        <x:f>AVERAGE(F67:F116)</x:f>
        <x:v>185.61788452148437</x:v>
      </x:c>
      <x:c r="K116" s="33" t="n">
        <x:f>IF(COUNT(I116:J116)=2,IF(I116&gt;J116,1,0),0)</x:f>
        <x:v>0</x:v>
      </x:c>
      <x:c r="L116" s="33" t="n">
        <x:f>K115</x:f>
        <x:v>0</x:v>
      </x:c>
      <x:c r="M116" s="36" t="n">
        <x:f>L116*H116-IF(L116&lt;&gt;L115,'Assumptions'!$B$7+'Assumptions'!$B$8,0)</x:f>
        <x:v>0</x:v>
      </x:c>
      <x:c r="N116" s="37" t="n">
        <x:f>N115*(1+M116)</x:f>
        <x:v>0.9652234412678046</x:v>
      </x:c>
      <x:c r="O116" s="36" t="n">
        <x:f>H116</x:f>
        <x:v>-0.0031711040511148703</x:v>
      </x:c>
      <x:c r="P116" s="37" t="n">
        <x:f>P115*(1+O116)</x:f>
        <x:v>1.1039397028226092</x:v>
      </x:c>
      <x:c r="Q116" s="34" t="n">
        <x:f>MAX(Q115,N116)</x:f>
        <x:v>1.102391214096513</x:v>
      </x:c>
      <x:c r="R116" s="38" t="n">
        <x:f>N116/Q116-1</x:f>
        <x:v>-0.1244274909621147</x:v>
      </x:c>
      <x:c r="S116" s="39" t="n">
        <x:f>MAX(S115,P116)</x:f>
        <x:v>1.2117435874944003</x:v>
      </x:c>
      <x:c r="T116" s="38" t="n">
        <x:f>P116/S116-1</x:f>
        <x:v>-0.08896592132557024</x:v>
      </x:c>
      <x:c r="U116" s="33" t="n">
        <x:f>IF(AND(L116=1,L115=0),1,0)</x:f>
        <x:v>0</x:v>
      </x:c>
      <x:c r="V116" s="33" t="n">
        <x:f>IF(AND(L116=0,L115=1),1,0)</x:f>
        <x:v>0</x:v>
      </x:c>
      <x:c r="W116" s="33" t="n">
        <x:f>IF(L116=K115,0,1)</x:f>
        <x:v>0</x:v>
      </x:c>
    </x:row>
    <x:row r="117">
      <x:c r="A117" s="29" t="n">
        <x:v>46017.604166666664</x:v>
      </x:c>
      <x:c r="B117" s="30" t="n">
        <x:v>189.9199981689453</x:v>
      </x:c>
      <x:c r="C117" s="30" t="n">
        <x:v>192.69000244140625</x:v>
      </x:c>
      <x:c r="D117" s="30" t="n">
        <x:v>188</x:v>
      </x:c>
      <x:c r="E117" s="30" t="n">
        <x:v>190.52999877929688</x:v>
      </x:c>
      <x:c r="F117" s="30" t="n">
        <x:v>190.2978973388672</x:v>
      </x:c>
      <x:c r="G117" s="31" t="n">
        <x:v>139740300</x:v>
      </x:c>
      <x:c r="H117" s="32" t="n">
        <x:f>F117/F116-1</x:f>
        <x:v>0.010179749413702144</x:v>
      </x:c>
      <x:c r="I117" s="35" t="n">
        <x:f>AVERAGE(F98:F117)</x:f>
        <x:v>181.0836380004883</x:v>
      </x:c>
      <x:c r="J117" s="35" t="n">
        <x:f>AVERAGE(F68:F117)</x:f>
        <x:v>185.83182373046876</x:v>
      </x:c>
      <x:c r="K117" s="33" t="n">
        <x:f>IF(COUNT(I117:J117)=2,IF(I117&gt;J117,1,0),0)</x:f>
        <x:v>0</x:v>
      </x:c>
      <x:c r="L117" s="33" t="n">
        <x:f>K116</x:f>
        <x:v>0</x:v>
      </x:c>
      <x:c r="M117" s="36" t="n">
        <x:f>L117*H117-IF(L117&lt;&gt;L116,'Assumptions'!$B$7+'Assumptions'!$B$8,0)</x:f>
        <x:v>0</x:v>
      </x:c>
      <x:c r="N117" s="37" t="n">
        <x:f>N116*(1+M117)</x:f>
        <x:v>0.9652234412678046</x:v>
      </x:c>
      <x:c r="O117" s="36" t="n">
        <x:f>H117</x:f>
        <x:v>0.010179749413702144</x:v>
      </x:c>
      <x:c r="P117" s="37" t="n">
        <x:f>P116*(1+O117)</x:f>
        <x:v>1.1151775323651802</x:v>
      </x:c>
      <x:c r="Q117" s="34" t="n">
        <x:f>MAX(Q116,N117)</x:f>
        <x:v>1.102391214096513</x:v>
      </x:c>
      <x:c r="R117" s="38" t="n">
        <x:f>N117/Q117-1</x:f>
        <x:v>-0.1244274909621147</x:v>
      </x:c>
      <x:c r="S117" s="39" t="n">
        <x:f>MAX(S116,P117)</x:f>
        <x:v>1.2117435874944003</x:v>
      </x:c>
      <x:c r="T117" s="38" t="n">
        <x:f>P117/S117-1</x:f>
        <x:v>-0.07969182269732145</x:v>
      </x:c>
      <x:c r="U117" s="33" t="n">
        <x:f>IF(AND(L117=1,L116=0),1,0)</x:f>
        <x:v>0</x:v>
      </x:c>
      <x:c r="V117" s="33" t="n">
        <x:f>IF(AND(L117=0,L116=1),1,0)</x:f>
        <x:v>0</x:v>
      </x:c>
      <x:c r="W117" s="33" t="n">
        <x:f>IF(L117=K116,0,1)</x:f>
        <x:v>0</x:v>
      </x:c>
    </x:row>
    <x:row r="118">
      <x:c r="A118" s="29" t="n">
        <x:v>46020.604166666664</x:v>
      </x:c>
      <x:c r="B118" s="30" t="n">
        <x:v>187.7100067138672</x:v>
      </x:c>
      <x:c r="C118" s="30" t="n">
        <x:v>188.75999450683594</x:v>
      </x:c>
      <x:c r="D118" s="30" t="n">
        <x:v>185.91000366210938</x:v>
      </x:c>
      <x:c r="E118" s="30" t="n">
        <x:v>188.22000122070312</x:v>
      </x:c>
      <x:c r="F118" s="30" t="n">
        <x:v>187.99070739746094</x:v>
      </x:c>
      <x:c r="G118" s="31" t="n">
        <x:v>120006100</x:v>
      </x:c>
      <x:c r="H118" s="32" t="n">
        <x:f>F118/F117-1</x:f>
        <x:v>-0.012124095818556446</x:v>
      </x:c>
      <x:c r="I118" s="35" t="n">
        <x:f>AVERAGE(F99:F118)</x:f>
        <x:v>181.6444465637207</x:v>
      </x:c>
      <x:c r="J118" s="35" t="n">
        <x:f>AVERAGE(F69:F118)</x:f>
        <x:v>185.9600695800781</x:v>
      </x:c>
      <x:c r="K118" s="33" t="n">
        <x:f>IF(COUNT(I118:J118)=2,IF(I118&gt;J118,1,0),0)</x:f>
        <x:v>0</x:v>
      </x:c>
      <x:c r="L118" s="33" t="n">
        <x:f>K117</x:f>
        <x:v>0</x:v>
      </x:c>
      <x:c r="M118" s="36" t="n">
        <x:f>L118*H118-IF(L118&lt;&gt;L117,'Assumptions'!$B$7+'Assumptions'!$B$8,0)</x:f>
        <x:v>0</x:v>
      </x:c>
      <x:c r="N118" s="37" t="n">
        <x:f>N117*(1+M118)</x:f>
        <x:v>0.9652234412678046</x:v>
      </x:c>
      <x:c r="O118" s="36" t="n">
        <x:f>H118</x:f>
        <x:v>-0.012124095818556446</x:v>
      </x:c>
      <x:c r="P118" s="37" t="n">
        <x:f>P117*(1+O118)</x:f>
        <x:v>1.1016570131080834</x:v>
      </x:c>
      <x:c r="Q118" s="34" t="n">
        <x:f>MAX(Q117,N118)</x:f>
        <x:v>1.102391214096513</x:v>
      </x:c>
      <x:c r="R118" s="38" t="n">
        <x:f>N118/Q118-1</x:f>
        <x:v>-0.1244274909621147</x:v>
      </x:c>
      <x:c r="S118" s="39" t="n">
        <x:f>MAX(S117,P118)</x:f>
        <x:v>1.2117435874944003</x:v>
      </x:c>
      <x:c r="T118" s="38" t="n">
        <x:f>P118/S118-1</x:f>
        <x:v>-0.09084972722154028</x:v>
      </x:c>
      <x:c r="U118" s="33" t="n">
        <x:f>IF(AND(L118=1,L117=0),1,0)</x:f>
        <x:v>0</x:v>
      </x:c>
      <x:c r="V118" s="33" t="n">
        <x:f>IF(AND(L118=0,L117=1),1,0)</x:f>
        <x:v>0</x:v>
      </x:c>
      <x:c r="W118" s="33" t="n">
        <x:f>IF(L118=K117,0,1)</x:f>
        <x:v>0</x:v>
      </x:c>
    </x:row>
    <x:row r="119">
      <x:c r="A119" s="29" t="n">
        <x:v>46021.604166666664</x:v>
      </x:c>
      <x:c r="B119" s="30" t="n">
        <x:v>188.24000549316406</x:v>
      </x:c>
      <x:c r="C119" s="30" t="n">
        <x:v>188.99000549316406</x:v>
      </x:c>
      <x:c r="D119" s="30" t="n">
        <x:v>186.92999267578125</x:v>
      </x:c>
      <x:c r="E119" s="30" t="n">
        <x:v>187.5399932861328</x:v>
      </x:c>
      <x:c r="F119" s="30" t="n">
        <x:v>187.31153869628906</x:v>
      </x:c>
      <x:c r="G119" s="31" t="n">
        <x:v>97687300</x:v>
      </x:c>
      <x:c r="H119" s="32" t="n">
        <x:f>F119/F118-1</x:f>
        <x:v>-0.00361277804937421</x:v>
      </x:c>
      <x:c r="I119" s="35" t="n">
        <x:f>AVERAGE(F100:F119)</x:f>
        <x:v>182.02548217773438</x:v>
      </x:c>
      <x:c r="J119" s="35" t="n">
        <x:f>AVERAGE(F70:F119)</x:f>
        <x:v>186.04656799316408</x:v>
      </x:c>
      <x:c r="K119" s="33" t="n">
        <x:f>IF(COUNT(I119:J119)=2,IF(I119&gt;J119,1,0),0)</x:f>
        <x:v>0</x:v>
      </x:c>
      <x:c r="L119" s="33" t="n">
        <x:f>K118</x:f>
        <x:v>0</x:v>
      </x:c>
      <x:c r="M119" s="36" t="n">
        <x:f>L119*H119-IF(L119&lt;&gt;L118,'Assumptions'!$B$7+'Assumptions'!$B$8,0)</x:f>
        <x:v>0</x:v>
      </x:c>
      <x:c r="N119" s="37" t="n">
        <x:f>N118*(1+M119)</x:f>
        <x:v>0.9652234412678046</x:v>
      </x:c>
      <x:c r="O119" s="36" t="n">
        <x:f>H119</x:f>
        <x:v>-0.00361277804937421</x:v>
      </x:c>
      <x:c r="P119" s="37" t="n">
        <x:f>P118*(1+O119)</x:f>
        <x:v>1.0976769708331873</x:v>
      </x:c>
      <x:c r="Q119" s="34" t="n">
        <x:f>MAX(Q118,N119)</x:f>
        <x:v>1.102391214096513</x:v>
      </x:c>
      <x:c r="R119" s="38" t="n">
        <x:f>N119/Q119-1</x:f>
        <x:v>-0.1244274909621147</x:v>
      </x:c>
      <x:c r="S119" s="39" t="n">
        <x:f>MAX(S118,P119)</x:f>
        <x:v>1.2117435874944003</x:v>
      </x:c>
      <x:c r="T119" s="38" t="n">
        <x:f>P119/S119-1</x:f>
        <x:v>-0.09413428537061697</x:v>
      </x:c>
      <x:c r="U119" s="33" t="n">
        <x:f>IF(AND(L119=1,L118=0),1,0)</x:f>
        <x:v>0</x:v>
      </x:c>
      <x:c r="V119" s="33" t="n">
        <x:f>IF(AND(L119=0,L118=1),1,0)</x:f>
        <x:v>0</x:v>
      </x:c>
      <x:c r="W119" s="33" t="n">
        <x:f>IF(L119=K118,0,1)</x:f>
        <x:v>0</x:v>
      </x:c>
    </x:row>
    <x:row r="120">
      <x:c r="A120" s="29" t="n">
        <x:v>46022.604166666664</x:v>
      </x:c>
      <x:c r="B120" s="30" t="n">
        <x:v>189.57000732421875</x:v>
      </x:c>
      <x:c r="C120" s="30" t="n">
        <x:v>190.55999755859375</x:v>
      </x:c>
      <x:c r="D120" s="30" t="n">
        <x:v>186.49000549316406</x:v>
      </x:c>
      <x:c r="E120" s="30" t="n">
        <x:v>186.5</x:v>
      </x:c>
      <x:c r="F120" s="30" t="n">
        <x:v>186.27281188964844</x:v>
      </x:c>
      <x:c r="G120" s="31" t="n">
        <x:v>120100500</x:v>
      </x:c>
      <x:c r="H120" s="32" t="n">
        <x:f>F120/F119-1</x:f>
        <x:v>-0.005545450183530032</x:v>
      </x:c>
      <x:c r="I120" s="35" t="n">
        <x:f>AVERAGE(F101:F120)</x:f>
        <x:v>182.27768020629884</x:v>
      </x:c>
      <x:c r="J120" s="35" t="n">
        <x:f>AVERAGE(F71:F120)</x:f>
        <x:v>186.12387725830078</x:v>
      </x:c>
      <x:c r="K120" s="33" t="n">
        <x:f>IF(COUNT(I120:J120)=2,IF(I120&gt;J120,1,0),0)</x:f>
        <x:v>0</x:v>
      </x:c>
      <x:c r="L120" s="33" t="n">
        <x:f>K119</x:f>
        <x:v>0</x:v>
      </x:c>
      <x:c r="M120" s="36" t="n">
        <x:f>L120*H120-IF(L120&lt;&gt;L119,'Assumptions'!$B$7+'Assumptions'!$B$8,0)</x:f>
        <x:v>0</x:v>
      </x:c>
      <x:c r="N120" s="37" t="n">
        <x:f>N119*(1+M120)</x:f>
        <x:v>0.9652234412678046</x:v>
      </x:c>
      <x:c r="O120" s="36" t="n">
        <x:f>H120</x:f>
        <x:v>-0.005545450183530032</x:v>
      </x:c>
      <x:c r="P120" s="37" t="n">
        <x:f>P119*(1+O120)</x:f>
        <x:v>1.0915898578738237</x:v>
      </x:c>
      <x:c r="Q120" s="34" t="n">
        <x:f>MAX(Q119,N120)</x:f>
        <x:v>1.102391214096513</x:v>
      </x:c>
      <x:c r="R120" s="38" t="n">
        <x:f>N120/Q120-1</x:f>
        <x:v>-0.1244274909621147</x:v>
      </x:c>
      <x:c r="S120" s="39" t="n">
        <x:f>MAX(S119,P120)</x:f>
        <x:v>1.2117435874944003</x:v>
      </x:c>
      <x:c r="T120" s="38" t="n">
        <x:f>P120/S120-1</x:f>
        <x:v>-0.09915771856406197</x:v>
      </x:c>
      <x:c r="U120" s="33" t="n">
        <x:f>IF(AND(L120=1,L119=0),1,0)</x:f>
        <x:v>0</x:v>
      </x:c>
      <x:c r="V120" s="33" t="n">
        <x:f>IF(AND(L120=0,L119=1),1,0)</x:f>
        <x:v>0</x:v>
      </x:c>
      <x:c r="W120" s="33" t="n">
        <x:f>IF(L120=K119,0,1)</x:f>
        <x:v>0</x:v>
      </x:c>
    </x:row>
    <x:row r="121">
      <x:c r="A121" s="29" t="n">
        <x:v>46024.604166666664</x:v>
      </x:c>
      <x:c r="B121" s="30" t="n">
        <x:v>189.83999633789062</x:v>
      </x:c>
      <x:c r="C121" s="30" t="n">
        <x:v>192.92999267578125</x:v>
      </x:c>
      <x:c r="D121" s="30" t="n">
        <x:v>188.25999450683594</x:v>
      </x:c>
      <x:c r="E121" s="30" t="n">
        <x:v>188.85000610351562</x:v>
      </x:c>
      <x:c r="F121" s="30" t="n">
        <x:v>188.6199493408203</x:v>
      </x:c>
      <x:c r="G121" s="31" t="n">
        <x:v>148240500</x:v>
      </x:c>
      <x:c r="H121" s="32" t="n">
        <x:f>F121/F120-1</x:f>
        <x:v>0.012600536961681508</x:v>
      </x:c>
      <x:c r="I121" s="35" t="n">
        <x:f>AVERAGE(F102:F121)</x:f>
        <x:v>182.74061584472656</x:v>
      </x:c>
      <x:c r="J121" s="35" t="n">
        <x:f>AVERAGE(F72:F121)</x:f>
        <x:v>186.27769165039064</x:v>
      </x:c>
      <x:c r="K121" s="33" t="n">
        <x:f>IF(COUNT(I121:J121)=2,IF(I121&gt;J121,1,0),0)</x:f>
        <x:v>0</x:v>
      </x:c>
      <x:c r="L121" s="33" t="n">
        <x:f>K120</x:f>
        <x:v>0</x:v>
      </x:c>
      <x:c r="M121" s="36" t="n">
        <x:f>L121*H121-IF(L121&lt;&gt;L120,'Assumptions'!$B$7+'Assumptions'!$B$8,0)</x:f>
        <x:v>0</x:v>
      </x:c>
      <x:c r="N121" s="37" t="n">
        <x:f>N120*(1+M121)</x:f>
        <x:v>0.9652234412678046</x:v>
      </x:c>
      <x:c r="O121" s="36" t="n">
        <x:f>H121</x:f>
        <x:v>0.012600536961681508</x:v>
      </x:c>
      <x:c r="P121" s="37" t="n">
        <x:f>P120*(1+O121)</x:f>
        <x:v>1.1053444762249593</x:v>
      </x:c>
      <x:c r="Q121" s="34" t="n">
        <x:f>MAX(Q120,N121)</x:f>
        <x:v>1.102391214096513</x:v>
      </x:c>
      <x:c r="R121" s="38" t="n">
        <x:f>N121/Q121-1</x:f>
        <x:v>-0.1244274909621147</x:v>
      </x:c>
      <x:c r="S121" s="39" t="n">
        <x:f>MAX(S120,P121)</x:f>
        <x:v>1.2117435874944003</x:v>
      </x:c>
      <x:c r="T121" s="38" t="n">
        <x:f>P121/S121-1</x:f>
        <x:v>-0.08780662210018308</x:v>
      </x:c>
      <x:c r="U121" s="33" t="n">
        <x:f>IF(AND(L121=1,L120=0),1,0)</x:f>
        <x:v>0</x:v>
      </x:c>
      <x:c r="V121" s="33" t="n">
        <x:f>IF(AND(L121=0,L120=1),1,0)</x:f>
        <x:v>0</x:v>
      </x:c>
      <x:c r="W121" s="33" t="n">
        <x:f>IF(L121=K120,0,1)</x:f>
        <x:v>0</x:v>
      </x:c>
    </x:row>
    <x:row r="122">
      <x:c r="A122" s="29" t="n">
        <x:v>46027.604166666664</x:v>
      </x:c>
      <x:c r="B122" s="30" t="n">
        <x:v>191.75999450683594</x:v>
      </x:c>
      <x:c r="C122" s="30" t="n">
        <x:v>193.6300048828125</x:v>
      </x:c>
      <x:c r="D122" s="30" t="n">
        <x:v>186.14999389648438</x:v>
      </x:c>
      <x:c r="E122" s="30" t="n">
        <x:v>188.1199951171875</x:v>
      </x:c>
      <x:c r="F122" s="30" t="n">
        <x:v>187.89083862304688</x:v>
      </x:c>
      <x:c r="G122" s="31" t="n">
        <x:v>183529700</x:v>
      </x:c>
      <x:c r="H122" s="32" t="n">
        <x:f>F122/F121-1</x:f>
        <x:v>-0.0038655016095672234</x:v>
      </x:c>
      <x:c r="I122" s="35" t="n">
        <x:f>AVERAGE(F103:F122)</x:f>
        <x:v>182.97732696533203</x:v>
      </x:c>
      <x:c r="J122" s="35" t="n">
        <x:f>AVERAGE(F73:F122)</x:f>
        <x:v>186.43450134277344</x:v>
      </x:c>
      <x:c r="K122" s="33" t="n">
        <x:f>IF(COUNT(I122:J122)=2,IF(I122&gt;J122,1,0),0)</x:f>
        <x:v>0</x:v>
      </x:c>
      <x:c r="L122" s="33" t="n">
        <x:f>K121</x:f>
        <x:v>0</x:v>
      </x:c>
      <x:c r="M122" s="36" t="n">
        <x:f>L122*H122-IF(L122&lt;&gt;L121,'Assumptions'!$B$7+'Assumptions'!$B$8,0)</x:f>
        <x:v>0</x:v>
      </x:c>
      <x:c r="N122" s="37" t="n">
        <x:f>N121*(1+M122)</x:f>
        <x:v>0.9652234412678046</x:v>
      </x:c>
      <x:c r="O122" s="36" t="n">
        <x:f>H122</x:f>
        <x:v>-0.0038655016095672234</x:v>
      </x:c>
      <x:c r="P122" s="37" t="n">
        <x:f>P121*(1+O122)</x:f>
        <x:v>1.1010717653729856</x:v>
      </x:c>
      <x:c r="Q122" s="34" t="n">
        <x:f>MAX(Q121,N122)</x:f>
        <x:v>1.102391214096513</x:v>
      </x:c>
      <x:c r="R122" s="38" t="n">
        <x:f>N122/Q122-1</x:f>
        <x:v>-0.1244274909621147</x:v>
      </x:c>
      <x:c r="S122" s="39" t="n">
        <x:f>MAX(S121,P122)</x:f>
        <x:v>1.2117435874944003</x:v>
      </x:c>
      <x:c r="T122" s="38" t="n">
        <x:f>P122/S122-1</x:f>
        <x:v>-0.0913327070706913</x:v>
      </x:c>
      <x:c r="U122" s="33" t="n">
        <x:f>IF(AND(L122=1,L121=0),1,0)</x:f>
        <x:v>0</x:v>
      </x:c>
      <x:c r="V122" s="33" t="n">
        <x:f>IF(AND(L122=0,L121=1),1,0)</x:f>
        <x:v>0</x:v>
      </x:c>
      <x:c r="W122" s="33" t="n">
        <x:f>IF(L122=K121,0,1)</x:f>
        <x:v>0</x:v>
      </x:c>
    </x:row>
    <x:row r="123">
      <x:c r="A123" s="29" t="n">
        <x:v>46028.604166666664</x:v>
      </x:c>
      <x:c r="B123" s="30" t="n">
        <x:v>190.52000427246094</x:v>
      </x:c>
      <x:c r="C123" s="30" t="n">
        <x:v>192.1699981689453</x:v>
      </x:c>
      <x:c r="D123" s="30" t="n">
        <x:v>186.82000732421875</x:v>
      </x:c>
      <x:c r="E123" s="30" t="n">
        <x:v>187.24000549316406</x:v>
      </x:c>
      <x:c r="F123" s="30" t="n">
        <x:v>187.0119171142578</x:v>
      </x:c>
      <x:c r="G123" s="31" t="n">
        <x:v>176862600</x:v>
      </x:c>
      <x:c r="H123" s="32" t="n">
        <x:f>F123/F122-1</x:f>
        <x:v>-0.004677830570294028</x:v>
      </x:c>
      <x:c r="I123" s="35" t="n">
        <x:f>AVERAGE(F104:F123)</x:f>
        <x:v>183.21853332519532</x:v>
      </x:c>
      <x:c r="J123" s="35" t="n">
        <x:f>AVERAGE(F74:F123)</x:f>
        <x:v>186.53618041992186</x:v>
      </x:c>
      <x:c r="K123" s="33" t="n">
        <x:f>IF(COUNT(I123:J123)=2,IF(I123&gt;J123,1,0),0)</x:f>
        <x:v>0</x:v>
      </x:c>
      <x:c r="L123" s="33" t="n">
        <x:f>K122</x:f>
        <x:v>0</x:v>
      </x:c>
      <x:c r="M123" s="36" t="n">
        <x:f>L123*H123-IF(L123&lt;&gt;L122,'Assumptions'!$B$7+'Assumptions'!$B$8,0)</x:f>
        <x:v>0</x:v>
      </x:c>
      <x:c r="N123" s="37" t="n">
        <x:f>N122*(1+M123)</x:f>
        <x:v>0.9652234412678046</x:v>
      </x:c>
      <x:c r="O123" s="36" t="n">
        <x:f>H123</x:f>
        <x:v>-0.004677830570294028</x:v>
      </x:c>
      <x:c r="P123" s="37" t="n">
        <x:f>P122*(1+O123)</x:f>
        <x:v>1.0959211382088363</x:v>
      </x:c>
      <x:c r="Q123" s="34" t="n">
        <x:f>MAX(Q122,N123)</x:f>
        <x:v>1.102391214096513</x:v>
      </x:c>
      <x:c r="R123" s="38" t="n">
        <x:f>N123/Q123-1</x:f>
        <x:v>-0.1244274909621147</x:v>
      </x:c>
      <x:c r="S123" s="39" t="n">
        <x:f>MAX(S122,P123)</x:f>
        <x:v>1.2117435874944003</x:v>
      </x:c>
      <x:c r="T123" s="38" t="n">
        <x:f>P123/S123-1</x:f>
        <x:v>-0.09558329871178228</x:v>
      </x:c>
      <x:c r="U123" s="33" t="n">
        <x:f>IF(AND(L123=1,L122=0),1,0)</x:f>
        <x:v>0</x:v>
      </x:c>
      <x:c r="V123" s="33" t="n">
        <x:f>IF(AND(L123=0,L122=1),1,0)</x:f>
        <x:v>0</x:v>
      </x:c>
      <x:c r="W123" s="33" t="n">
        <x:f>IF(L123=K122,0,1)</x:f>
        <x:v>0</x:v>
      </x:c>
    </x:row>
    <x:row r="124">
      <x:c r="A124" s="29" t="n">
        <x:v>46029.604166666664</x:v>
      </x:c>
      <x:c r="B124" s="30" t="n">
        <x:v>188.57000732421875</x:v>
      </x:c>
      <x:c r="C124" s="30" t="n">
        <x:v>191.3699951171875</x:v>
      </x:c>
      <x:c r="D124" s="30" t="n">
        <x:v>186.55999755859375</x:v>
      </x:c>
      <x:c r="E124" s="30" t="n">
        <x:v>189.11000061035156</x:v>
      </x:c>
      <x:c r="F124" s="30" t="n">
        <x:v>188.87962341308594</x:v>
      </x:c>
      <x:c r="G124" s="31" t="n">
        <x:v>153543200</x:v>
      </x:c>
      <x:c r="H124" s="32" t="n">
        <x:f>F124/F123-1</x:f>
        <x:v>0.009987097761727348</x:v>
      </x:c>
      <x:c r="I124" s="35" t="n">
        <x:f>AVERAGE(F105:F124)</x:f>
        <x:v>183.39631576538085</x:v>
      </x:c>
      <x:c r="J124" s="35" t="n">
        <x:f>AVERAGE(F75:F124)</x:f>
        <x:v>186.59331848144532</x:v>
      </x:c>
      <x:c r="K124" s="33" t="n">
        <x:f>IF(COUNT(I124:J124)=2,IF(I124&gt;J124,1,0),0)</x:f>
        <x:v>0</x:v>
      </x:c>
      <x:c r="L124" s="33" t="n">
        <x:f>K123</x:f>
        <x:v>0</x:v>
      </x:c>
      <x:c r="M124" s="36" t="n">
        <x:f>L124*H124-IF(L124&lt;&gt;L123,'Assumptions'!$B$7+'Assumptions'!$B$8,0)</x:f>
        <x:v>0</x:v>
      </x:c>
      <x:c r="N124" s="37" t="n">
        <x:f>N123*(1+M124)</x:f>
        <x:v>0.9652234412678046</x:v>
      </x:c>
      <x:c r="O124" s="36" t="n">
        <x:f>H124</x:f>
        <x:v>0.009987097761727348</x:v>
      </x:c>
      <x:c r="P124" s="37" t="n">
        <x:f>P123*(1+O124)</x:f>
        <x:v>1.1068662097552715</x:v>
      </x:c>
      <x:c r="Q124" s="34" t="n">
        <x:f>MAX(Q123,N124)</x:f>
        <x:v>1.102391214096513</x:v>
      </x:c>
      <x:c r="R124" s="38" t="n">
        <x:f>N124/Q124-1</x:f>
        <x:v>-0.1244274909621147</x:v>
      </x:c>
      <x:c r="S124" s="39" t="n">
        <x:f>MAX(S123,P124)</x:f>
        <x:v>1.2117435874944003</x:v>
      </x:c>
      <x:c r="T124" s="38" t="n">
        <x:f>P124/S124-1</x:f>
        <x:v>-0.08655080069867782</x:v>
      </x:c>
      <x:c r="U124" s="33" t="n">
        <x:f>IF(AND(L124=1,L123=0),1,0)</x:f>
        <x:v>0</x:v>
      </x:c>
      <x:c r="V124" s="33" t="n">
        <x:f>IF(AND(L124=0,L123=1),1,0)</x:f>
        <x:v>0</x:v>
      </x:c>
      <x:c r="W124" s="33" t="n">
        <x:f>IF(L124=K123,0,1)</x:f>
        <x:v>0</x:v>
      </x:c>
    </x:row>
    <x:row r="125">
      <x:c r="A125" s="29" t="n">
        <x:v>46030.604166666664</x:v>
      </x:c>
      <x:c r="B125" s="30" t="n">
        <x:v>189.11000061035156</x:v>
      </x:c>
      <x:c r="C125" s="30" t="n">
        <x:v>189.5500030517578</x:v>
      </x:c>
      <x:c r="D125" s="30" t="n">
        <x:v>183.7100067138672</x:v>
      </x:c>
      <x:c r="E125" s="30" t="n">
        <x:v>185.0399932861328</x:v>
      </x:c>
      <x:c r="F125" s="30" t="n">
        <x:v>184.81459045410156</x:v>
      </x:c>
      <x:c r="G125" s="31" t="n">
        <x:v>172457000</x:v>
      </x:c>
      <x:c r="H125" s="32" t="n">
        <x:f>F125/F124-1</x:f>
        <x:v>-0.02152181842344114</x:v>
      </x:c>
      <x:c r="I125" s="35" t="n">
        <x:f>AVERAGE(F106:F125)</x:f>
        <x:v>183.3998115539551</x:v>
      </x:c>
      <x:c r="J125" s="35" t="n">
        <x:f>AVERAGE(F76:F125)</x:f>
        <x:v>186.46468872070312</x:v>
      </x:c>
      <x:c r="K125" s="33" t="n">
        <x:f>IF(COUNT(I125:J125)=2,IF(I125&gt;J125,1,0),0)</x:f>
        <x:v>0</x:v>
      </x:c>
      <x:c r="L125" s="33" t="n">
        <x:f>K124</x:f>
        <x:v>0</x:v>
      </x:c>
      <x:c r="M125" s="36" t="n">
        <x:f>L125*H125-IF(L125&lt;&gt;L124,'Assumptions'!$B$7+'Assumptions'!$B$8,0)</x:f>
        <x:v>0</x:v>
      </x:c>
      <x:c r="N125" s="37" t="n">
        <x:f>N124*(1+M125)</x:f>
        <x:v>0.9652234412678046</x:v>
      </x:c>
      <x:c r="O125" s="36" t="n">
        <x:f>H125</x:f>
        <x:v>-0.02152181842344114</x:v>
      </x:c>
      <x:c r="P125" s="37" t="n">
        <x:f>P124*(1+O125)</x:f>
        <x:v>1.0830444361698761</x:v>
      </x:c>
      <x:c r="Q125" s="34" t="n">
        <x:f>MAX(Q124,N125)</x:f>
        <x:v>1.102391214096513</x:v>
      </x:c>
      <x:c r="R125" s="38" t="n">
        <x:f>N125/Q125-1</x:f>
        <x:v>-0.1244274909621147</x:v>
      </x:c>
      <x:c r="S125" s="39" t="n">
        <x:f>MAX(S124,P125)</x:f>
        <x:v>1.2117435874944003</x:v>
      </x:c>
      <x:c r="T125" s="38" t="n">
        <x:f>P125/S125-1</x:f>
        <x:v>-0.10620988850507851</x:v>
      </x:c>
      <x:c r="U125" s="33" t="n">
        <x:f>IF(AND(L125=1,L124=0),1,0)</x:f>
        <x:v>0</x:v>
      </x:c>
      <x:c r="V125" s="33" t="n">
        <x:f>IF(AND(L125=0,L124=1),1,0)</x:f>
        <x:v>0</x:v>
      </x:c>
      <x:c r="W125" s="33" t="n">
        <x:f>IF(L125=K124,0,1)</x:f>
        <x:v>0</x:v>
      </x:c>
    </x:row>
    <x:row r="126">
      <x:c r="A126" s="29" t="n">
        <x:v>46031.604166666664</x:v>
      </x:c>
      <x:c r="B126" s="30" t="n">
        <x:v>185.0800018310547</x:v>
      </x:c>
      <x:c r="C126" s="30" t="n">
        <x:v>186.33999633789062</x:v>
      </x:c>
      <x:c r="D126" s="30" t="n">
        <x:v>183.6699981689453</x:v>
      </x:c>
      <x:c r="E126" s="30" t="n">
        <x:v>184.86000061035156</x:v>
      </x:c>
      <x:c r="F126" s="30" t="n">
        <x:v>184.63479614257812</x:v>
      </x:c>
      <x:c r="G126" s="31" t="n">
        <x:v>131327500</x:v>
      </x:c>
      <x:c r="H126" s="32" t="n">
        <x:f>F126/F125-1</x:f>
        <x:v>-0.0009728361331303725</x:v>
      </x:c>
      <x:c r="I126" s="35" t="n">
        <x:f>AVERAGE(F107:F126)</x:f>
        <x:v>183.4537452697754</x:v>
      </x:c>
      <x:c r="J126" s="35" t="n">
        <x:f>AVERAGE(F77:F126)</x:f>
        <x:v>186.1419058227539</x:v>
      </x:c>
      <x:c r="K126" s="33" t="n">
        <x:f>IF(COUNT(I126:J126)=2,IF(I126&gt;J126,1,0),0)</x:f>
        <x:v>0</x:v>
      </x:c>
      <x:c r="L126" s="33" t="n">
        <x:f>K125</x:f>
        <x:v>0</x:v>
      </x:c>
      <x:c r="M126" s="36" t="n">
        <x:f>L126*H126-IF(L126&lt;&gt;L125,'Assumptions'!$B$7+'Assumptions'!$B$8,0)</x:f>
        <x:v>0</x:v>
      </x:c>
      <x:c r="N126" s="37" t="n">
        <x:f>N125*(1+M126)</x:f>
        <x:v>0.9652234412678046</x:v>
      </x:c>
      <x:c r="O126" s="36" t="n">
        <x:f>H126</x:f>
        <x:v>-0.0009728361331303725</x:v>
      </x:c>
      <x:c r="P126" s="37" t="n">
        <x:f>P125*(1+O126)</x:f>
        <x:v>1.0819908114085843</x:v>
      </x:c>
      <x:c r="Q126" s="34" t="n">
        <x:f>MAX(Q125,N126)</x:f>
        <x:v>1.102391214096513</x:v>
      </x:c>
      <x:c r="R126" s="38" t="n">
        <x:f>N126/Q126-1</x:f>
        <x:v>-0.1244274909621147</x:v>
      </x:c>
      <x:c r="S126" s="39" t="n">
        <x:f>MAX(S125,P126)</x:f>
        <x:v>1.2117435874944003</x:v>
      </x:c>
      <x:c r="T126" s="38" t="n">
        <x:f>P126/S126-1</x:f>
        <x:v>-0.10707939982097536</x:v>
      </x:c>
      <x:c r="U126" s="33" t="n">
        <x:f>IF(AND(L126=1,L125=0),1,0)</x:f>
        <x:v>0</x:v>
      </x:c>
      <x:c r="V126" s="33" t="n">
        <x:f>IF(AND(L126=0,L125=1),1,0)</x:f>
        <x:v>0</x:v>
      </x:c>
      <x:c r="W126" s="33" t="n">
        <x:f>IF(L126=K125,0,1)</x:f>
        <x:v>0</x:v>
      </x:c>
    </x:row>
    <x:row r="127">
      <x:c r="A127" s="29" t="n">
        <x:v>46034.604166666664</x:v>
      </x:c>
      <x:c r="B127" s="30" t="n">
        <x:v>183.22000122070312</x:v>
      </x:c>
      <x:c r="C127" s="30" t="n">
        <x:v>187.1199951171875</x:v>
      </x:c>
      <x:c r="D127" s="30" t="n">
        <x:v>183.02000427246094</x:v>
      </x:c>
      <x:c r="E127" s="30" t="n">
        <x:v>184.94000244140625</x:v>
      </x:c>
      <x:c r="F127" s="30" t="n">
        <x:v>184.71470642089844</x:v>
      </x:c>
      <x:c r="G127" s="31" t="n">
        <x:v>137968500</x:v>
      </x:c>
      <x:c r="H127" s="32" t="n">
        <x:f>F127/F126-1</x:f>
        <x:v>0.00043280183361860125</x:v>
      </x:c>
      <x:c r="I127" s="35" t="n">
        <x:f>AVERAGE(F108:F127)</x:f>
        <x:v>183.65400161743165</x:v>
      </x:c>
      <x:c r="J127" s="35" t="n">
        <x:f>AVERAGE(F78:F127)</x:f>
        <x:v>185.70067443847657</x:v>
      </x:c>
      <x:c r="K127" s="33" t="n">
        <x:f>IF(COUNT(I127:J127)=2,IF(I127&gt;J127,1,0),0)</x:f>
        <x:v>0</x:v>
      </x:c>
      <x:c r="L127" s="33" t="n">
        <x:f>K126</x:f>
        <x:v>0</x:v>
      </x:c>
      <x:c r="M127" s="36" t="n">
        <x:f>L127*H127-IF(L127&lt;&gt;L126,'Assumptions'!$B$7+'Assumptions'!$B$8,0)</x:f>
        <x:v>0</x:v>
      </x:c>
      <x:c r="N127" s="37" t="n">
        <x:f>N126*(1+M127)</x:f>
        <x:v>0.9652234412678046</x:v>
      </x:c>
      <x:c r="O127" s="36" t="n">
        <x:f>H127</x:f>
        <x:v>0.00043280183361860125</x:v>
      </x:c>
      <x:c r="P127" s="37" t="n">
        <x:f>P126*(1+O127)</x:f>
        <x:v>1.0824590990157203</x:v>
      </x:c>
      <x:c r="Q127" s="34" t="n">
        <x:f>MAX(Q126,N127)</x:f>
        <x:v>1.102391214096513</x:v>
      </x:c>
      <x:c r="R127" s="38" t="n">
        <x:f>N127/Q127-1</x:f>
        <x:v>-0.1244274909621147</x:v>
      </x:c>
      <x:c r="S127" s="39" t="n">
        <x:f>MAX(S126,P127)</x:f>
        <x:v>1.2117435874944003</x:v>
      </x:c>
      <x:c r="T127" s="38" t="n">
        <x:f>P127/S127-1</x:f>
        <x:v>-0.10669294214794212</x:v>
      </x:c>
      <x:c r="U127" s="33" t="n">
        <x:f>IF(AND(L127=1,L126=0),1,0)</x:f>
        <x:v>0</x:v>
      </x:c>
      <x:c r="V127" s="33" t="n">
        <x:f>IF(AND(L127=0,L126=1),1,0)</x:f>
        <x:v>0</x:v>
      </x:c>
      <x:c r="W127" s="33" t="n">
        <x:f>IF(L127=K126,0,1)</x:f>
        <x:v>0</x:v>
      </x:c>
    </x:row>
    <x:row r="128">
      <x:c r="A128" s="29" t="n">
        <x:v>46035.604166666664</x:v>
      </x:c>
      <x:c r="B128" s="30" t="n">
        <x:v>185</x:v>
      </x:c>
      <x:c r="C128" s="30" t="n">
        <x:v>188.11000061035156</x:v>
      </x:c>
      <x:c r="D128" s="30" t="n">
        <x:v>183.39999389648438</x:v>
      </x:c>
      <x:c r="E128" s="30" t="n">
        <x:v>185.80999755859375</x:v>
      </x:c>
      <x:c r="F128" s="30" t="n">
        <x:v>185.58364868164062</x:v>
      </x:c>
      <x:c r="G128" s="31" t="n">
        <x:v>160128900</x:v>
      </x:c>
      <x:c r="H128" s="32" t="n">
        <x:f>F128/F127-1</x:f>
        <x:v>0.004704239730442428</x:v>
      </x:c>
      <x:c r="I128" s="35" t="n">
        <x:f>AVERAGE(F109:F128)</x:f>
        <x:v>184.19284439086914</x:v>
      </x:c>
      <x:c r="J128" s="35" t="n">
        <x:f>AVERAGE(F79:F128)</x:f>
        <x:v>185.35971618652343</x:v>
      </x:c>
      <x:c r="K128" s="33" t="n">
        <x:f>IF(COUNT(I128:J128)=2,IF(I128&gt;J128,1,0),0)</x:f>
        <x:v>0</x:v>
      </x:c>
      <x:c r="L128" s="33" t="n">
        <x:f>K127</x:f>
        <x:v>0</x:v>
      </x:c>
      <x:c r="M128" s="36" t="n">
        <x:f>L128*H128-IF(L128&lt;&gt;L127,'Assumptions'!$B$7+'Assumptions'!$B$8,0)</x:f>
        <x:v>0</x:v>
      </x:c>
      <x:c r="N128" s="37" t="n">
        <x:f>N127*(1+M128)</x:f>
        <x:v>0.9652234412678046</x:v>
      </x:c>
      <x:c r="O128" s="36" t="n">
        <x:f>H128</x:f>
        <x:v>0.004704239730442428</x:v>
      </x:c>
      <x:c r="P128" s="37" t="n">
        <x:f>P127*(1+O128)</x:f>
        <x:v>1.087551246115889</x:v>
      </x:c>
      <x:c r="Q128" s="34" t="n">
        <x:f>MAX(Q127,N128)</x:f>
        <x:v>1.102391214096513</x:v>
      </x:c>
      <x:c r="R128" s="38" t="n">
        <x:f>N128/Q128-1</x:f>
        <x:v>-0.1244274909621147</x:v>
      </x:c>
      <x:c r="S128" s="39" t="n">
        <x:f>MAX(S127,P128)</x:f>
        <x:v>1.2117435874944003</x:v>
      </x:c>
      <x:c r="T128" s="38" t="n">
        <x:f>P128/S128-1</x:f>
        <x:v>-0.10249061159490991</x:v>
      </x:c>
      <x:c r="U128" s="33" t="n">
        <x:f>IF(AND(L128=1,L127=0),1,0)</x:f>
        <x:v>0</x:v>
      </x:c>
      <x:c r="V128" s="33" t="n">
        <x:f>IF(AND(L128=0,L127=1),1,0)</x:f>
        <x:v>0</x:v>
      </x:c>
      <x:c r="W128" s="33" t="n">
        <x:f>IF(L128=K127,0,1)</x:f>
        <x:v>0</x:v>
      </x:c>
    </x:row>
    <x:row r="129">
      <x:c r="A129" s="29" t="n">
        <x:v>46036.604166666664</x:v>
      </x:c>
      <x:c r="B129" s="30" t="n">
        <x:v>184.32000732421875</x:v>
      </x:c>
      <x:c r="C129" s="30" t="n">
        <x:v>184.4600067138672</x:v>
      </x:c>
      <x:c r="D129" s="30" t="n">
        <x:v>180.8000030517578</x:v>
      </x:c>
      <x:c r="E129" s="30" t="n">
        <x:v>183.13999938964844</x:v>
      </x:c>
      <x:c r="F129" s="30" t="n">
        <x:v>182.91688537597656</x:v>
      </x:c>
      <x:c r="G129" s="31" t="n">
        <x:v>159586100</x:v>
      </x:c>
      <x:c r="H129" s="32" t="n">
        <x:f>F129/F128-1</x:f>
        <x:v>-0.014369602734984221</x:v>
      </x:c>
      <x:c r="I129" s="35" t="n">
        <x:f>AVERAGE(F110:F129)</x:f>
        <x:v>184.5349266052246</x:v>
      </x:c>
      <x:c r="J129" s="35" t="n">
        <x:f>AVERAGE(F80:F129)</x:f>
        <x:v>184.97341247558595</x:v>
      </x:c>
      <x:c r="K129" s="33" t="n">
        <x:f>IF(COUNT(I129:J129)=2,IF(I129&gt;J129,1,0),0)</x:f>
        <x:v>0</x:v>
      </x:c>
      <x:c r="L129" s="33" t="n">
        <x:f>K128</x:f>
        <x:v>0</x:v>
      </x:c>
      <x:c r="M129" s="36" t="n">
        <x:f>L129*H129-IF(L129&lt;&gt;L128,'Assumptions'!$B$7+'Assumptions'!$B$8,0)</x:f>
        <x:v>0</x:v>
      </x:c>
      <x:c r="N129" s="37" t="n">
        <x:f>N128*(1+M129)</x:f>
        <x:v>0.9652234412678046</x:v>
      </x:c>
      <x:c r="O129" s="36" t="n">
        <x:f>H129</x:f>
        <x:v>-0.014369602734984221</x:v>
      </x:c>
      <x:c r="P129" s="37" t="n">
        <x:f>P128*(1+O129)</x:f>
        <x:v>1.0719235667552665</x:v>
      </x:c>
      <x:c r="Q129" s="34" t="n">
        <x:f>MAX(Q128,N129)</x:f>
        <x:v>1.102391214096513</x:v>
      </x:c>
      <x:c r="R129" s="38" t="n">
        <x:f>N129/Q129-1</x:f>
        <x:v>-0.1244274909621147</x:v>
      </x:c>
      <x:c r="S129" s="39" t="n">
        <x:f>MAX(S128,P129)</x:f>
        <x:v>1.2117435874944003</x:v>
      </x:c>
      <x:c r="T129" s="38" t="n">
        <x:f>P129/S129-1</x:f>
        <x:v>-0.11538746495720975</x:v>
      </x:c>
      <x:c r="U129" s="33" t="n">
        <x:f>IF(AND(L129=1,L128=0),1,0)</x:f>
        <x:v>0</x:v>
      </x:c>
      <x:c r="V129" s="33" t="n">
        <x:f>IF(AND(L129=0,L128=1),1,0)</x:f>
        <x:v>0</x:v>
      </x:c>
      <x:c r="W129" s="33" t="n">
        <x:f>IF(L129=K128,0,1)</x:f>
        <x:v>0</x:v>
      </x:c>
    </x:row>
    <x:row r="130">
      <x:c r="A130" s="29" t="n">
        <x:v>46037.604166666664</x:v>
      </x:c>
      <x:c r="B130" s="30" t="n">
        <x:v>186.5</x:v>
      </x:c>
      <x:c r="C130" s="30" t="n">
        <x:v>189.6999969482422</x:v>
      </x:c>
      <x:c r="D130" s="30" t="n">
        <x:v>186.3300018310547</x:v>
      </x:c>
      <x:c r="E130" s="30" t="n">
        <x:v>187.0500030517578</x:v>
      </x:c>
      <x:c r="F130" s="30" t="n">
        <x:v>186.8221435546875</x:v>
      </x:c>
      <x:c r="G130" s="31" t="n">
        <x:v>206188600</x:v>
      </x:c>
      <x:c r="H130" s="32" t="n">
        <x:f>F130/F129-1</x:f>
        <x:v>0.021349905289956617</x:v>
      </x:c>
      <x:c r="I130" s="35" t="n">
        <x:f>AVERAGE(F111:F130)</x:f>
        <x:v>185.00085830688477</x:v>
      </x:c>
      <x:c r="J130" s="35" t="n">
        <x:f>AVERAGE(F81:F130)</x:f>
        <x:v>184.5775259399414</x:v>
      </x:c>
      <x:c r="K130" s="33" t="n">
        <x:f>IF(COUNT(I130:J130)=2,IF(I130&gt;J130,1,0),0)</x:f>
        <x:v>1</x:v>
      </x:c>
      <x:c r="L130" s="33" t="n">
        <x:f>K129</x:f>
        <x:v>0</x:v>
      </x:c>
      <x:c r="M130" s="36" t="n">
        <x:f>L130*H130-IF(L130&lt;&gt;L129,'Assumptions'!$B$7+'Assumptions'!$B$8,0)</x:f>
        <x:v>0</x:v>
      </x:c>
      <x:c r="N130" s="37" t="n">
        <x:f>N129*(1+M130)</x:f>
        <x:v>0.9652234412678046</x:v>
      </x:c>
      <x:c r="O130" s="36" t="n">
        <x:f>H130</x:f>
        <x:v>0.021349905289956617</x:v>
      </x:c>
      <x:c r="P130" s="37" t="n">
        <x:f>P129*(1+O130)</x:f>
        <x:v>1.0948090333835638</x:v>
      </x:c>
      <x:c r="Q130" s="34" t="n">
        <x:f>MAX(Q129,N130)</x:f>
        <x:v>1.102391214096513</x:v>
      </x:c>
      <x:c r="R130" s="38" t="n">
        <x:f>N130/Q130-1</x:f>
        <x:v>-0.1244274909621147</x:v>
      </x:c>
      <x:c r="S130" s="39" t="n">
        <x:f>MAX(S129,P130)</x:f>
        <x:v>1.2117435874944003</x:v>
      </x:c>
      <x:c r="T130" s="38" t="n">
        <x:f>P130/S130-1</x:f>
        <x:v>-0.0965010711157378</x:v>
      </x:c>
      <x:c r="U130" s="33" t="n">
        <x:f>IF(AND(L130=1,L129=0),1,0)</x:f>
        <x:v>0</x:v>
      </x:c>
      <x:c r="V130" s="33" t="n">
        <x:f>IF(AND(L130=0,L129=1),1,0)</x:f>
        <x:v>0</x:v>
      </x:c>
      <x:c r="W130" s="33" t="n">
        <x:f>IF(L130=K129,0,1)</x:f>
        <x:v>0</x:v>
      </x:c>
    </x:row>
    <x:row r="131">
      <x:c r="A131" s="29" t="n">
        <x:v>46038.604166666664</x:v>
      </x:c>
      <x:c r="B131" s="30" t="n">
        <x:v>189.0800018310547</x:v>
      </x:c>
      <x:c r="C131" s="30" t="n">
        <x:v>190.44000244140625</x:v>
      </x:c>
      <x:c r="D131" s="30" t="n">
        <x:v>186.0800018310547</x:v>
      </x:c>
      <x:c r="E131" s="30" t="n">
        <x:v>186.22999572753906</x:v>
      </x:c>
      <x:c r="F131" s="30" t="n">
        <x:v>186.0031280517578</x:v>
      </x:c>
      <x:c r="G131" s="31" t="n">
        <x:v>187967200</x:v>
      </x:c>
      <x:c r="H131" s="32" t="n">
        <x:f>F131/F130-1</x:f>
        <x:v>-0.004383931622591319</x:v>
      </x:c>
      <x:c r="I131" s="35" t="n">
        <x:f>AVERAGE(F112:F131)</x:f>
        <x:v>185.76442642211913</x:v>
      </x:c>
      <x:c r="J131" s="35" t="n">
        <x:f>AVERAGE(F82:F131)</x:f>
        <x:v>184.32885040283202</x:v>
      </x:c>
      <x:c r="K131" s="33" t="n">
        <x:f>IF(COUNT(I131:J131)=2,IF(I131&gt;J131,1,0),0)</x:f>
        <x:v>1</x:v>
      </x:c>
      <x:c r="L131" s="33" t="n">
        <x:f>K130</x:f>
        <x:v>1</x:v>
      </x:c>
      <x:c r="M131" s="36" t="n">
        <x:f>L131*H131-IF(L131&lt;&gt;L130,'Assumptions'!$B$7+'Assumptions'!$B$8,0)</x:f>
        <x:v>-0.005383931622591319</x:v>
      </x:c>
      <x:c r="N131" s="37" t="n">
        <x:f>N130*(1+M131)</x:f>
        <x:v>0.9600267442594964</x:v>
      </x:c>
      <x:c r="O131" s="36" t="n">
        <x:f>H131</x:f>
        <x:v>-0.004383931622591319</x:v>
      </x:c>
      <x:c r="P131" s="37" t="n">
        <x:f>P130*(1+O131)</x:f>
        <x:v>1.090009465441415</x:v>
      </x:c>
      <x:c r="Q131" s="34" t="n">
        <x:f>MAX(Q130,N131)</x:f>
        <x:v>1.102391214096513</x:v>
      </x:c>
      <x:c r="R131" s="38" t="n">
        <x:f>N131/Q131-1</x:f>
        <x:v>-0.12914151348139535</x:v>
      </x:c>
      <x:c r="S131" s="39" t="n">
        <x:f>MAX(S130,P131)</x:f>
        <x:v>1.2117435874944003</x:v>
      </x:c>
      <x:c r="T131" s="38" t="n">
        <x:f>P131/S131-1</x:f>
        <x:v>-0.10046194864105096</x:v>
      </x:c>
      <x:c r="U131" s="33" t="n">
        <x:f>IF(AND(L131=1,L130=0),1,0)</x:f>
        <x:v>1</x:v>
      </x:c>
      <x:c r="V131" s="33" t="n">
        <x:f>IF(AND(L131=0,L130=1),1,0)</x:f>
        <x:v>0</x:v>
      </x:c>
      <x:c r="W131" s="33" t="n">
        <x:f>IF(L131=K130,0,1)</x:f>
        <x:v>0</x:v>
      </x:c>
    </x:row>
    <x:row r="132">
      <x:c r="A132" s="29" t="n">
        <x:v>46042.604166666664</x:v>
      </x:c>
      <x:c r="B132" s="30" t="n">
        <x:v>181.89999389648438</x:v>
      </x:c>
      <x:c r="C132" s="30" t="n">
        <x:v>182.3800048828125</x:v>
      </x:c>
      <x:c r="D132" s="30" t="n">
        <x:v>177.61000061035156</x:v>
      </x:c>
      <x:c r="E132" s="30" t="n">
        <x:v>178.07000732421875</x:v>
      </x:c>
      <x:c r="F132" s="30" t="n">
        <x:v>177.8530731201172</x:v>
      </x:c>
      <x:c r="G132" s="31" t="n">
        <x:v>223345300</x:v>
      </x:c>
      <x:c r="H132" s="32" t="n">
        <x:f>F132/F131-1</x:f>
        <x:v>-0.043816762744832816</x:v>
      </x:c>
      <x:c r="I132" s="35" t="n">
        <x:f>AVERAGE(F113:F132)</x:f>
        <x:v>185.96068725585937</x:v>
      </x:c>
      <x:c r="J132" s="35" t="n">
        <x:f>AVERAGE(F83:F132)</x:f>
        <x:v>183.9866848754883</x:v>
      </x:c>
      <x:c r="K132" s="33" t="n">
        <x:f>IF(COUNT(I132:J132)=2,IF(I132&gt;J132,1,0),0)</x:f>
        <x:v>1</x:v>
      </x:c>
      <x:c r="L132" s="33" t="n">
        <x:f>K131</x:f>
        <x:v>1</x:v>
      </x:c>
      <x:c r="M132" s="36" t="n">
        <x:f>L132*H132-IF(L132&lt;&gt;L131,'Assumptions'!$B$7+'Assumptions'!$B$8,0)</x:f>
        <x:v>-0.043816762744832816</x:v>
      </x:c>
      <x:c r="N132" s="37" t="n">
        <x:f>N131*(1+M132)</x:f>
        <x:v>0.9179614801775837</x:v>
      </x:c>
      <x:c r="O132" s="36" t="n">
        <x:f>H132</x:f>
        <x:v>-0.043816762744832816</x:v>
      </x:c>
      <x:c r="P132" s="37" t="n">
        <x:f>P131*(1+O132)</x:f>
        <x:v>1.0422487793045465</x:v>
      </x:c>
      <x:c r="Q132" s="34" t="n">
        <x:f>MAX(Q131,N132)</x:f>
        <x:v>1.102391214096513</x:v>
      </x:c>
      <x:c r="R132" s="38" t="n">
        <x:f>N132/Q132-1</x:f>
        <x:v>-0.16729971316950532</x:v>
      </x:c>
      <x:c r="S132" s="39" t="n">
        <x:f>MAX(S131,P132)</x:f>
        <x:v>1.2117435874944003</x:v>
      </x:c>
      <x:c r="T132" s="38" t="n">
        <x:f>P132/S132-1</x:f>
        <x:v>-0.13987679401739517</x:v>
      </x:c>
      <x:c r="U132" s="33" t="n">
        <x:f>IF(AND(L132=1,L131=0),1,0)</x:f>
        <x:v>0</x:v>
      </x:c>
      <x:c r="V132" s="33" t="n">
        <x:f>IF(AND(L132=0,L131=1),1,0)</x:f>
        <x:v>0</x:v>
      </x:c>
      <x:c r="W132" s="33" t="n">
        <x:f>IF(L132=K131,0,1)</x:f>
        <x:v>0</x:v>
      </x:c>
    </x:row>
    <x:row r="133">
      <x:c r="A133" s="29" t="n">
        <x:v>46043.604166666664</x:v>
      </x:c>
      <x:c r="B133" s="30" t="n">
        <x:v>179.0500030517578</x:v>
      </x:c>
      <x:c r="C133" s="30" t="n">
        <x:v>185.3800048828125</x:v>
      </x:c>
      <x:c r="D133" s="30" t="n">
        <x:v>178.39999389648438</x:v>
      </x:c>
      <x:c r="E133" s="30" t="n">
        <x:v>183.32000732421875</x:v>
      </x:c>
      <x:c r="F133" s="30" t="n">
        <x:v>183.09669494628906</x:v>
      </x:c>
      <x:c r="G133" s="31" t="n">
        <x:v>200381000</x:v>
      </x:c>
      <x:c r="H133" s="32" t="n">
        <x:f>F133/F132-1</x:f>
        <x:v>0.029482885699874783</x:v>
      </x:c>
      <x:c r="I133" s="35" t="n">
        <x:f>AVERAGE(F114:F133)</x:f>
        <x:v>186.0770462036133</x:v>
      </x:c>
      <x:c r="J133" s="35" t="n">
        <x:f>AVERAGE(F84:F133)</x:f>
        <x:v>183.89181030273437</x:v>
      </x:c>
      <x:c r="K133" s="33" t="n">
        <x:f>IF(COUNT(I133:J133)=2,IF(I133&gt;J133,1,0),0)</x:f>
        <x:v>1</x:v>
      </x:c>
      <x:c r="L133" s="33" t="n">
        <x:f>K132</x:f>
        <x:v>1</x:v>
      </x:c>
      <x:c r="M133" s="36" t="n">
        <x:f>L133*H133-IF(L133&lt;&gt;L132,'Assumptions'!$B$7+'Assumptions'!$B$8,0)</x:f>
        <x:v>0.029482885699874783</x:v>
      </x:c>
      <x:c r="N133" s="37" t="n">
        <x:f>N132*(1+M133)</x:f>
        <x:v>0.9450256335745473</x:v>
      </x:c>
      <x:c r="O133" s="36" t="n">
        <x:f>H133</x:f>
        <x:v>0.029482885699874783</x:v>
      </x:c>
      <x:c r="P133" s="37" t="n">
        <x:f>P132*(1+O133)</x:f>
        <x:v>1.0729772809356164</x:v>
      </x:c>
      <x:c r="Q133" s="34" t="n">
        <x:f>MAX(Q132,N133)</x:f>
        <x:v>1.102391214096513</x:v>
      </x:c>
      <x:c r="R133" s="38" t="n">
        <x:f>N133/Q133-1</x:f>
        <x:v>-0.14274930579062894</x:v>
      </x:c>
      <x:c r="S133" s="39" t="n">
        <x:f>MAX(S132,P133)</x:f>
        <x:v>1.2117435874944003</x:v>
      </x:c>
      <x:c r="T133" s="38" t="n">
        <x:f>P133/S133-1</x:f>
        <x:v>-0.11451787984760031</x:v>
      </x:c>
      <x:c r="U133" s="33" t="n">
        <x:f>IF(AND(L133=1,L132=0),1,0)</x:f>
        <x:v>0</x:v>
      </x:c>
      <x:c r="V133" s="33" t="n">
        <x:f>IF(AND(L133=0,L132=1),1,0)</x:f>
        <x:v>0</x:v>
      </x:c>
      <x:c r="W133" s="33" t="n">
        <x:f>IF(L133=K132,0,1)</x:f>
        <x:v>0</x:v>
      </x:c>
    </x:row>
    <x:row r="134">
      <x:c r="A134" s="29" t="n">
        <x:v>46044.604166666664</x:v>
      </x:c>
      <x:c r="B134" s="30" t="n">
        <x:v>184.75</x:v>
      </x:c>
      <x:c r="C134" s="30" t="n">
        <x:v>186.1699981689453</x:v>
      </x:c>
      <x:c r="D134" s="30" t="n">
        <x:v>183.92999267578125</x:v>
      </x:c>
      <x:c r="E134" s="30" t="n">
        <x:v>184.83999633789062</x:v>
      </x:c>
      <x:c r="F134" s="30" t="n">
        <x:v>184.6148223876953</x:v>
      </x:c>
      <x:c r="G134" s="31" t="n">
        <x:v>139636600</x:v>
      </x:c>
      <x:c r="H134" s="32" t="n">
        <x:f>F134/F133-1</x:f>
        <x:v>0.008291397296120495</x:v>
      </x:c>
      <x:c r="I134" s="35" t="n">
        <x:f>AVERAGE(F115:F134)</x:f>
        <x:v>186.1344757080078</x:v>
      </x:c>
      <x:c r="J134" s="35" t="n">
        <x:f>AVERAGE(F85:F134)</x:f>
        <x:v>183.8258999633789</x:v>
      </x:c>
      <x:c r="K134" s="33" t="n">
        <x:f>IF(COUNT(I134:J134)=2,IF(I134&gt;J134,1,0),0)</x:f>
        <x:v>1</x:v>
      </x:c>
      <x:c r="L134" s="33" t="n">
        <x:f>K133</x:f>
        <x:v>1</x:v>
      </x:c>
      <x:c r="M134" s="36" t="n">
        <x:f>L134*H134-IF(L134&lt;&gt;L133,'Assumptions'!$B$7+'Assumptions'!$B$8,0)</x:f>
        <x:v>0.008291397296120495</x:v>
      </x:c>
      <x:c r="N134" s="37" t="n">
        <x:f>N133*(1+M134)</x:f>
        <x:v>0.9528612165575319</x:v>
      </x:c>
      <x:c r="O134" s="36" t="n">
        <x:f>H134</x:f>
        <x:v>0.008291397296120495</x:v>
      </x:c>
      <x:c r="P134" s="37" t="n">
        <x:f>P133*(1+O134)</x:f>
        <x:v>1.0818737618615646</x:v>
      </x:c>
      <x:c r="Q134" s="34" t="n">
        <x:f>MAX(Q133,N134)</x:f>
        <x:v>1.102391214096513</x:v>
      </x:c>
      <x:c r="R134" s="38" t="n">
        <x:f>N134/Q134-1</x:f>
        <x:v>-0.1356414997025639</x:v>
      </x:c>
      <x:c r="S134" s="39" t="n">
        <x:f>MAX(S133,P134)</x:f>
        <x:v>1.2117435874944003</x:v>
      </x:c>
      <x:c r="T134" s="38" t="n">
        <x:f>P134/S134-1</x:f>
        <x:v>-0.10717599579080572</x:v>
      </x:c>
      <x:c r="U134" s="33" t="n">
        <x:f>IF(AND(L134=1,L133=0),1,0)</x:f>
        <x:v>0</x:v>
      </x:c>
      <x:c r="V134" s="33" t="n">
        <x:f>IF(AND(L134=0,L133=1),1,0)</x:f>
        <x:v>0</x:v>
      </x:c>
      <x:c r="W134" s="33" t="n">
        <x:f>IF(L134=K133,0,1)</x:f>
        <x:v>0</x:v>
      </x:c>
    </x:row>
    <x:row r="135">
      <x:c r="A135" s="29" t="n">
        <x:v>46045.604166666664</x:v>
      </x:c>
      <x:c r="B135" s="30" t="n">
        <x:v>187.5</x:v>
      </x:c>
      <x:c r="C135" s="30" t="n">
        <x:v>189.60000610351562</x:v>
      </x:c>
      <x:c r="D135" s="30" t="n">
        <x:v>186.82000732421875</x:v>
      </x:c>
      <x:c r="E135" s="30" t="n">
        <x:v>187.6699981689453</x:v>
      </x:c>
      <x:c r="F135" s="30" t="n">
        <x:v>187.44137573242188</x:v>
      </x:c>
      <x:c r="G135" s="31" t="n">
        <x:v>142748100</x:v>
      </x:c>
      <x:c r="H135" s="32" t="n">
        <x:f>F135/F134-1</x:f>
        <x:v>0.015310543910665775</x:v>
      </x:c>
      <x:c r="I135" s="35" t="n">
        <x:f>AVERAGE(F116:F135)</x:f>
        <x:v>186.05756912231445</x:v>
      </x:c>
      <x:c r="J135" s="35" t="n">
        <x:f>AVERAGE(F86:F135)</x:f>
        <x:v>183.59879821777344</x:v>
      </x:c>
      <x:c r="K135" s="33" t="n">
        <x:f>IF(COUNT(I135:J135)=2,IF(I135&gt;J135,1,0),0)</x:f>
        <x:v>1</x:v>
      </x:c>
      <x:c r="L135" s="33" t="n">
        <x:f>K134</x:f>
        <x:v>1</x:v>
      </x:c>
      <x:c r="M135" s="36" t="n">
        <x:f>L135*H135-IF(L135&lt;&gt;L134,'Assumptions'!$B$7+'Assumptions'!$B$8,0)</x:f>
        <x:v>0.015310543910665775</x:v>
      </x:c>
      <x:c r="N135" s="37" t="n">
        <x:f>N134*(1+M135)</x:f>
        <x:v>0.9674500400544064</x:v>
      </x:c>
      <x:c r="O135" s="36" t="n">
        <x:f>H135</x:f>
        <x:v>0.015310543910665775</x:v>
      </x:c>
      <x:c r="P135" s="37" t="n">
        <x:f>P134*(1+O135)</x:f>
        <x:v>1.0984378375983432</x:v>
      </x:c>
      <x:c r="Q135" s="34" t="n">
        <x:f>MAX(Q134,N135)</x:f>
        <x:v>1.102391214096513</x:v>
      </x:c>
      <x:c r="R135" s="38" t="n">
        <x:f>N135/Q135-1</x:f>
        <x:v>-0.12240770092920272</x:v>
      </x:c>
      <x:c r="S135" s="39" t="n">
        <x:f>MAX(S134,P135)</x:f>
        <x:v>1.2117435874944003</x:v>
      </x:c>
      <x:c r="T135" s="38" t="n">
        <x:f>P135/S135-1</x:f>
        <x:v>-0.09350637466986444</x:v>
      </x:c>
      <x:c r="U135" s="33" t="n">
        <x:f>IF(AND(L135=1,L134=0),1,0)</x:f>
        <x:v>0</x:v>
      </x:c>
      <x:c r="V135" s="33" t="n">
        <x:f>IF(AND(L135=0,L134=1),1,0)</x:f>
        <x:v>0</x:v>
      </x:c>
      <x:c r="W135" s="33" t="n">
        <x:f>IF(L135=K134,0,1)</x:f>
        <x:v>0</x:v>
      </x:c>
    </x:row>
    <x:row r="136">
      <x:c r="A136" s="29" t="n">
        <x:v>46048.604166666664</x:v>
      </x:c>
      <x:c r="B136" s="30" t="n">
        <x:v>187.16000366210938</x:v>
      </x:c>
      <x:c r="C136" s="30" t="n">
        <x:v>189.1199951171875</x:v>
      </x:c>
      <x:c r="D136" s="30" t="n">
        <x:v>185.99000549316406</x:v>
      </x:c>
      <x:c r="E136" s="30" t="n">
        <x:v>186.47000122070312</x:v>
      </x:c>
      <x:c r="F136" s="30" t="n">
        <x:v>186.2428436279297</x:v>
      </x:c>
      <x:c r="G136" s="31" t="n">
        <x:v>124799600</x:v>
      </x:c>
      <x:c r="H136" s="32" t="n">
        <x:f>F136/F135-1</x:f>
        <x:v>-0.006394170442939551</x:v>
      </x:c>
      <x:c r="I136" s="35" t="n">
        <x:f>AVERAGE(F117:F136)</x:f>
        <x:v>185.95069961547853</x:v>
      </x:c>
      <x:c r="J136" s="35" t="n">
        <x:f>AVERAGE(F87:F136)</x:f>
        <x:v>183.4653759765625</x:v>
      </x:c>
      <x:c r="K136" s="33" t="n">
        <x:f>IF(COUNT(I136:J136)=2,IF(I136&gt;J136,1,0),0)</x:f>
        <x:v>1</x:v>
      </x:c>
      <x:c r="L136" s="33" t="n">
        <x:f>K135</x:f>
        <x:v>1</x:v>
      </x:c>
      <x:c r="M136" s="36" t="n">
        <x:f>L136*H136-IF(L136&lt;&gt;L135,'Assumptions'!$B$7+'Assumptions'!$B$8,0)</x:f>
        <x:v>-0.006394170442939551</x:v>
      </x:c>
      <x:c r="N136" s="37" t="n">
        <x:f>N135*(1+M136)</x:f>
        <x:v>0.9612639996032698</x:v>
      </x:c>
      <x:c r="O136" s="36" t="n">
        <x:f>H136</x:f>
        <x:v>-0.006394170442939551</x:v>
      </x:c>
      <x:c r="P136" s="37" t="n">
        <x:f>P135*(1+O136)</x:f>
        <x:v>1.0914142388437655</x:v>
      </x:c>
      <x:c r="Q136" s="34" t="n">
        <x:f>MAX(Q135,N136)</x:f>
        <x:v>1.102391214096513</x:v>
      </x:c>
      <x:c r="R136" s="38" t="n">
        <x:f>N136/Q136-1</x:f>
        <x:v>-0.12801917566887266</x:v>
      </x:c>
      <x:c r="S136" s="39" t="n">
        <x:f>MAX(S135,P136)</x:f>
        <x:v>1.2117435874944003</x:v>
      </x:c>
      <x:c r="T136" s="38" t="n">
        <x:f>P136/S136-1</x:f>
        <x:v>-0.09930264941566347</x:v>
      </x:c>
      <x:c r="U136" s="33" t="n">
        <x:f>IF(AND(L136=1,L135=0),1,0)</x:f>
        <x:v>0</x:v>
      </x:c>
      <x:c r="V136" s="33" t="n">
        <x:f>IF(AND(L136=0,L135=1),1,0)</x:f>
        <x:v>0</x:v>
      </x:c>
      <x:c r="W136" s="33" t="n">
        <x:f>IF(L136=K135,0,1)</x:f>
        <x:v>0</x:v>
      </x:c>
    </x:row>
    <x:row r="137">
      <x:c r="A137" s="29" t="n">
        <x:v>46049.604166666664</x:v>
      </x:c>
      <x:c r="B137" s="30" t="n">
        <x:v>187.24000549316406</x:v>
      </x:c>
      <x:c r="C137" s="30" t="n">
        <x:v>190</x:v>
      </x:c>
      <x:c r="D137" s="30" t="n">
        <x:v>185.6999969482422</x:v>
      </x:c>
      <x:c r="E137" s="30" t="n">
        <x:v>188.52000427246094</x:v>
      </x:c>
      <x:c r="F137" s="30" t="n">
        <x:v>188.29034423828125</x:v>
      </x:c>
      <x:c r="G137" s="31" t="n">
        <x:v>143711600</x:v>
      </x:c>
      <x:c r="H137" s="32" t="n">
        <x:f>F137/F136-1</x:f>
        <x:v>0.010993714284356582</x:v>
      </x:c>
      <x:c r="I137" s="35" t="n">
        <x:f>AVERAGE(F118:F137)</x:f>
        <x:v>185.8503219604492</x:v>
      </x:c>
      <x:c r="J137" s="35" t="n">
        <x:f>AVERAGE(F88:F137)</x:f>
        <x:v>183.36011993408204</x:v>
      </x:c>
      <x:c r="K137" s="33" t="n">
        <x:f>IF(COUNT(I137:J137)=2,IF(I137&gt;J137,1,0),0)</x:f>
        <x:v>1</x:v>
      </x:c>
      <x:c r="L137" s="33" t="n">
        <x:f>K136</x:f>
        <x:v>1</x:v>
      </x:c>
      <x:c r="M137" s="36" t="n">
        <x:f>L137*H137-IF(L137&lt;&gt;L136,'Assumptions'!$B$7+'Assumptions'!$B$8,0)</x:f>
        <x:v>0.010993714284356582</x:v>
      </x:c>
      <x:c r="N137" s="37" t="n">
        <x:f>N136*(1+M137)</x:f>
        <x:v>0.971831861366746</x:v>
      </x:c>
      <x:c r="O137" s="36" t="n">
        <x:f>H137</x:f>
        <x:v>0.010993714284356582</x:v>
      </x:c>
      <x:c r="P137" s="37" t="n">
        <x:f>P136*(1+O137)</x:f>
        <x:v>1.1034129351514923</x:v>
      </x:c>
      <x:c r="Q137" s="34" t="n">
        <x:f>MAX(Q136,N137)</x:f>
        <x:v>1.102391214096513</x:v>
      </x:c>
      <x:c r="R137" s="38" t="n">
        <x:f>N137/Q137-1</x:f>
        <x:v>-0.11843286762473848</x:v>
      </x:c>
      <x:c r="S137" s="39" t="n">
        <x:f>MAX(S136,P137)</x:f>
        <x:v>1.2117435874944003</x:v>
      </x:c>
      <x:c r="T137" s="38" t="n">
        <x:f>P137/S137-1</x:f>
        <x:v>-0.08940064008666238</x:v>
      </x:c>
      <x:c r="U137" s="33" t="n">
        <x:f>IF(AND(L137=1,L136=0),1,0)</x:f>
        <x:v>0</x:v>
      </x:c>
      <x:c r="V137" s="33" t="n">
        <x:f>IF(AND(L137=0,L136=1),1,0)</x:f>
        <x:v>0</x:v>
      </x:c>
      <x:c r="W137" s="33" t="n">
        <x:f>IF(L137=K136,0,1)</x:f>
        <x:v>0</x:v>
      </x:c>
    </x:row>
    <x:row r="138">
      <x:c r="A138" s="29" t="n">
        <x:v>46050.604166666664</x:v>
      </x:c>
      <x:c r="B138" s="30" t="n">
        <x:v>191.27000427246094</x:v>
      </x:c>
      <x:c r="C138" s="30" t="n">
        <x:v>192.35000610351562</x:v>
      </x:c>
      <x:c r="D138" s="30" t="n">
        <x:v>189.83999633789062</x:v>
      </x:c>
      <x:c r="E138" s="30" t="n">
        <x:v>191.52000427246094</x:v>
      </x:c>
      <x:c r="F138" s="30" t="n">
        <x:v>191.2866973876953</x:v>
      </x:c>
      <x:c r="G138" s="31" t="n">
        <x:v>148552700</x:v>
      </x:c>
      <x:c r="H138" s="32" t="n">
        <x:f>F138/F137-1</x:f>
        <x:v>0.015913472151403374</x:v>
      </x:c>
      <x:c r="I138" s="35" t="n">
        <x:f>AVERAGE(F119:F138)</x:f>
        <x:v>186.01512145996094</x:v>
      </x:c>
      <x:c r="J138" s="35" t="n">
        <x:f>AVERAGE(F89:F138)</x:f>
        <x:v>183.4534146118164</x:v>
      </x:c>
      <x:c r="K138" s="33" t="n">
        <x:f>IF(COUNT(I138:J138)=2,IF(I138&gt;J138,1,0),0)</x:f>
        <x:v>1</x:v>
      </x:c>
      <x:c r="L138" s="33" t="n">
        <x:f>K137</x:f>
        <x:v>1</x:v>
      </x:c>
      <x:c r="M138" s="36" t="n">
        <x:f>L138*H138-IF(L138&lt;&gt;L137,'Assumptions'!$B$7+'Assumptions'!$B$8,0)</x:f>
        <x:v>0.015913472151403374</x:v>
      </x:c>
      <x:c r="N138" s="37" t="n">
        <x:f>N137*(1+M138)</x:f>
        <x:v>0.9872970806284522</x:v>
      </x:c>
      <x:c r="O138" s="36" t="n">
        <x:f>H138</x:f>
        <x:v>0.015913472151403374</x:v>
      </x:c>
      <x:c r="P138" s="37" t="n">
        <x:f>P137*(1+O138)</x:f>
        <x:v>1.120972066166524</x:v>
      </x:c>
      <x:c r="Q138" s="34" t="n">
        <x:f>MAX(Q137,N138)</x:f>
        <x:v>1.102391214096513</x:v>
      </x:c>
      <x:c r="R138" s="38" t="n">
        <x:f>N138/Q138-1</x:f>
        <x:v>-0.10440407361409221</x:v>
      </x:c>
      <x:c r="S138" s="39" t="n">
        <x:f>MAX(S137,P138)</x:f>
        <x:v>1.2117435874944003</x:v>
      </x:c>
      <x:c r="T138" s="38" t="n">
        <x:f>P138/S138-1</x:f>
        <x:v>-0.07490984253159572</x:v>
      </x:c>
      <x:c r="U138" s="33" t="n">
        <x:f>IF(AND(L138=1,L137=0),1,0)</x:f>
        <x:v>0</x:v>
      </x:c>
      <x:c r="V138" s="33" t="n">
        <x:f>IF(AND(L138=0,L137=1),1,0)</x:f>
        <x:v>0</x:v>
      </x:c>
      <x:c r="W138" s="33" t="n">
        <x:f>IF(L138=K137,0,1)</x:f>
        <x:v>0</x:v>
      </x:c>
    </x:row>
    <x:row r="139">
      <x:c r="A139" s="29" t="n">
        <x:v>46051.604166666664</x:v>
      </x:c>
      <x:c r="B139" s="30" t="n">
        <x:v>191.33999633789062</x:v>
      </x:c>
      <x:c r="C139" s="30" t="n">
        <x:v>193.47999572753906</x:v>
      </x:c>
      <x:c r="D139" s="30" t="n">
        <x:v>186.05999755859375</x:v>
      </x:c>
      <x:c r="E139" s="30" t="n">
        <x:v>192.50999450683594</x:v>
      </x:c>
      <x:c r="F139" s="30" t="n">
        <x:v>192.27548217773438</x:v>
      </x:c>
      <x:c r="G139" s="31" t="n">
        <x:v>171764400</x:v>
      </x:c>
      <x:c r="H139" s="32" t="n">
        <x:f>F139/F138-1</x:f>
        <x:v>0.005169124688451321</x:v>
      </x:c>
      <x:c r="I139" s="35" t="n">
        <x:f>AVERAGE(F120:F139)</x:f>
        <x:v>186.2633186340332</x:v>
      </x:c>
      <x:c r="J139" s="35" t="n">
        <x:f>AVERAGE(F90:F139)</x:f>
        <x:v>183.5003692626953</x:v>
      </x:c>
      <x:c r="K139" s="33" t="n">
        <x:f>IF(COUNT(I139:J139)=2,IF(I139&gt;J139,1,0),0)</x:f>
        <x:v>1</x:v>
      </x:c>
      <x:c r="L139" s="33" t="n">
        <x:f>K138</x:f>
        <x:v>1</x:v>
      </x:c>
      <x:c r="M139" s="36" t="n">
        <x:f>L139*H139-IF(L139&lt;&gt;L138,'Assumptions'!$B$7+'Assumptions'!$B$8,0)</x:f>
        <x:v>0.005169124688451321</x:v>
      </x:c>
      <x:c r="N139" s="37" t="n">
        <x:f>N138*(1+M139)</x:f>
        <x:v>0.9924005423427646</x:v>
      </x:c>
      <x:c r="O139" s="36" t="n">
        <x:f>H139</x:f>
        <x:v>0.005169124688451321</x:v>
      </x:c>
      <x:c r="P139" s="37" t="n">
        <x:f>P138*(1+O139)</x:f>
        <x:v>1.1267665105488096</x:v>
      </x:c>
      <x:c r="Q139" s="34" t="n">
        <x:f>MAX(Q138,N139)</x:f>
        <x:v>1.102391214096513</x:v>
      </x:c>
      <x:c r="R139" s="38" t="n">
        <x:f>N139/Q139-1</x:f>
        <x:v>-0.09977462660013448</x:v>
      </x:c>
      <x:c r="S139" s="39" t="n">
        <x:f>MAX(S138,P139)</x:f>
        <x:v>1.2117435874944003</x:v>
      </x:c>
      <x:c r="T139" s="38" t="n">
        <x:f>P139/S139-1</x:f>
        <x:v>-0.07012793615958235</x:v>
      </x:c>
      <x:c r="U139" s="33" t="n">
        <x:f>IF(AND(L139=1,L138=0),1,0)</x:f>
        <x:v>0</x:v>
      </x:c>
      <x:c r="V139" s="33" t="n">
        <x:f>IF(AND(L139=0,L138=1),1,0)</x:f>
        <x:v>0</x:v>
      </x:c>
      <x:c r="W139" s="33" t="n">
        <x:f>IF(L139=K138,0,1)</x:f>
        <x:v>0</x:v>
      </x:c>
    </x:row>
    <x:row r="140">
      <x:c r="A140" s="29" t="n">
        <x:v>46052.604166666664</x:v>
      </x:c>
      <x:c r="B140" s="30" t="n">
        <x:v>191.2100067138672</x:v>
      </x:c>
      <x:c r="C140" s="30" t="n">
        <x:v>194.49000549316406</x:v>
      </x:c>
      <x:c r="D140" s="30" t="n">
        <x:v>189.47000122070312</x:v>
      </x:c>
      <x:c r="E140" s="30" t="n">
        <x:v>191.1300048828125</x:v>
      </x:c>
      <x:c r="F140" s="30" t="n">
        <x:v>190.8971710205078</x:v>
      </x:c>
      <x:c r="G140" s="31" t="n">
        <x:v>179489500</x:v>
      </x:c>
      <x:c r="H140" s="32" t="n">
        <x:f>F140/F139-1</x:f>
        <x:v>-0.007168418675203125</x:v>
      </x:c>
      <x:c r="I140" s="35" t="n">
        <x:f>AVERAGE(F121:F140)</x:f>
        <x:v>186.49453659057616</x:v>
      </x:c>
      <x:c r="J140" s="35" t="n">
        <x:f>AVERAGE(F91:F140)</x:f>
        <x:v>183.59106658935548</x:v>
      </x:c>
      <x:c r="K140" s="33" t="n">
        <x:f>IF(COUNT(I140:J140)=2,IF(I140&gt;J140,1,0),0)</x:f>
        <x:v>1</x:v>
      </x:c>
      <x:c r="L140" s="33" t="n">
        <x:f>K139</x:f>
        <x:v>1</x:v>
      </x:c>
      <x:c r="M140" s="36" t="n">
        <x:f>L140*H140-IF(L140&lt;&gt;L139,'Assumptions'!$B$7+'Assumptions'!$B$8,0)</x:f>
        <x:v>-0.007168418675203125</x:v>
      </x:c>
      <x:c r="N140" s="37" t="n">
        <x:f>N139*(1+M140)</x:f>
        <x:v>0.985286599761753</x:v>
      </x:c>
      <x:c r="O140" s="36" t="n">
        <x:f>H140</x:f>
        <x:v>-0.007168418675203125</x:v>
      </x:c>
      <x:c r="P140" s="37" t="n">
        <x:f>P139*(1+O140)</x:f>
        <x:v>1.118689376451998</x:v>
      </x:c>
      <x:c r="Q140" s="34" t="n">
        <x:f>MAX(Q139,N140)</x:f>
        <x:v>1.102391214096513</x:v>
      </x:c>
      <x:c r="R140" s="38" t="n">
        <x:f>N140/Q140-1</x:f>
        <x:v>-0.1062278189787057</x:v>
      </x:c>
      <x:c r="S140" s="39" t="n">
        <x:f>MAX(S139,P140)</x:f>
        <x:v>1.2117435874944003</x:v>
      </x:c>
      <x:c r="T140" s="38" t="n">
        <x:f>P140/S140-1</x:f>
        <x:v>-0.07679364842756575</x:v>
      </x:c>
      <x:c r="U140" s="33" t="n">
        <x:f>IF(AND(L140=1,L139=0),1,0)</x:f>
        <x:v>0</x:v>
      </x:c>
      <x:c r="V140" s="33" t="n">
        <x:f>IF(AND(L140=0,L139=1),1,0)</x:f>
        <x:v>0</x:v>
      </x:c>
      <x:c r="W140" s="33" t="n">
        <x:f>IF(L140=K139,0,1)</x:f>
        <x:v>0</x:v>
      </x:c>
    </x:row>
    <x:row r="141">
      <x:c r="A141" s="29" t="n">
        <x:v>46055.604166666664</x:v>
      </x:c>
      <x:c r="B141" s="30" t="n">
        <x:v>187.1999969482422</x:v>
      </x:c>
      <x:c r="C141" s="30" t="n">
        <x:v>190.3000030517578</x:v>
      </x:c>
      <x:c r="D141" s="30" t="n">
        <x:v>184.8800048828125</x:v>
      </x:c>
      <x:c r="E141" s="30" t="n">
        <x:v>185.61000061035156</x:v>
      </x:c>
      <x:c r="F141" s="30" t="n">
        <x:v>185.38389587402344</x:v>
      </x:c>
      <x:c r="G141" s="31" t="n">
        <x:v>165794100</x:v>
      </x:c>
      <x:c r="H141" s="32" t="n">
        <x:f>F141/F140-1</x:f>
        <x:v>-0.02888086354036168</x:v>
      </x:c>
      <x:c r="I141" s="35" t="n">
        <x:f>AVERAGE(F122:F141)</x:f>
        <x:v>186.33273391723634</x:v>
      </x:c>
      <x:c r="J141" s="35" t="n">
        <x:f>AVERAGE(F92:F141)</x:f>
        <x:v>183.67616485595704</x:v>
      </x:c>
      <x:c r="K141" s="33" t="n">
        <x:f>IF(COUNT(I141:J141)=2,IF(I141&gt;J141,1,0),0)</x:f>
        <x:v>1</x:v>
      </x:c>
      <x:c r="L141" s="33" t="n">
        <x:f>K140</x:f>
        <x:v>1</x:v>
      </x:c>
      <x:c r="M141" s="36" t="n">
        <x:f>L141*H141-IF(L141&lt;&gt;L140,'Assumptions'!$B$7+'Assumptions'!$B$8,0)</x:f>
        <x:v>-0.02888086354036168</x:v>
      </x:c>
      <x:c r="N141" s="37" t="n">
        <x:f>N140*(1+M141)</x:f>
        <x:v>0.9568306719258869</x:v>
      </x:c>
      <x:c r="O141" s="36" t="n">
        <x:f>H141</x:f>
        <x:v>-0.02888086354036168</x:v>
      </x:c>
      <x:c r="P141" s="37" t="n">
        <x:f>P140*(1+O141)</x:f>
        <x:v>1.0863806612266356</x:v>
      </x:c>
      <x:c r="Q141" s="34" t="n">
        <x:f>MAX(Q140,N141)</x:f>
        <x:v>1.102391214096513</x:v>
      </x:c>
      <x:c r="R141" s="38" t="n">
        <x:f>N141/Q141-1</x:f>
        <x:v>-0.1320407313749532</x:v>
      </x:c>
      <x:c r="S141" s="39" t="n">
        <x:f>MAX(S140,P141)</x:f>
        <x:v>1.2117435874944003</x:v>
      </x:c>
      <x:c r="T141" s="38" t="n">
        <x:f>P141/S141-1</x:f>
        <x:v>-0.10345664508692443</x:v>
      </x:c>
      <x:c r="U141" s="33" t="n">
        <x:f>IF(AND(L141=1,L140=0),1,0)</x:f>
        <x:v>0</x:v>
      </x:c>
      <x:c r="V141" s="33" t="n">
        <x:f>IF(AND(L141=0,L140=1),1,0)</x:f>
        <x:v>0</x:v>
      </x:c>
      <x:c r="W141" s="33" t="n">
        <x:f>IF(L141=K140,0,1)</x:f>
        <x:v>0</x:v>
      </x:c>
    </x:row>
    <x:row r="142">
      <x:c r="A142" s="29" t="n">
        <x:v>46056.604166666664</x:v>
      </x:c>
      <x:c r="B142" s="30" t="n">
        <x:v>186.24000549316406</x:v>
      </x:c>
      <x:c r="C142" s="30" t="n">
        <x:v>186.27000427246094</x:v>
      </x:c>
      <x:c r="D142" s="30" t="n">
        <x:v>176.22999572753906</x:v>
      </x:c>
      <x:c r="E142" s="30" t="n">
        <x:v>180.33999633789062</x:v>
      </x:c>
      <x:c r="F142" s="30" t="n">
        <x:v>180.12030029296875</x:v>
      </x:c>
      <x:c r="G142" s="31" t="n">
        <x:v>204019600</x:v>
      </x:c>
      <x:c r="H142" s="32" t="n">
        <x:f>F142/F141-1</x:f>
        <x:v>-0.028392949431980563</x:v>
      </x:c>
      <x:c r="I142" s="35" t="n">
        <x:f>AVERAGE(F123:F142)</x:f>
        <x:v>185.94420700073243</x:v>
      </x:c>
      <x:c r="J142" s="35" t="n">
        <x:f>AVERAGE(F93:F142)</x:f>
        <x:v>183.55292266845703</x:v>
      </x:c>
      <x:c r="K142" s="33" t="n">
        <x:f>IF(COUNT(I142:J142)=2,IF(I142&gt;J142,1,0),0)</x:f>
        <x:v>1</x:v>
      </x:c>
      <x:c r="L142" s="33" t="n">
        <x:f>K141</x:f>
        <x:v>1</x:v>
      </x:c>
      <x:c r="M142" s="36" t="n">
        <x:f>L142*H142-IF(L142&lt;&gt;L141,'Assumptions'!$B$7+'Assumptions'!$B$8,0)</x:f>
        <x:v>-0.028392949431980563</x:v>
      </x:c>
      <x:c r="N142" s="37" t="n">
        <x:f>N141*(1+M142)</x:f>
        <x:v>0.9296634270429271</x:v>
      </x:c>
      <x:c r="O142" s="36" t="n">
        <x:f>H142</x:f>
        <x:v>-0.028392949431980563</x:v>
      </x:c>
      <x:c r="P142" s="37" t="n">
        <x:f>P141*(1+O142)</x:f>
        <x:v>1.0555351100485462</x:v>
      </x:c>
      <x:c r="Q142" s="34" t="n">
        <x:f>MAX(Q141,N142)</x:f>
        <x:v>1.102391214096513</x:v>
      </x:c>
      <x:c r="R142" s="38" t="n">
        <x:f>N142/Q142-1</x:f>
        <x:v>-0.15668465499804307</x:v>
      </x:c>
      <x:c r="S142" s="39" t="n">
        <x:f>MAX(S141,P142)</x:f>
        <x:v>1.2117435874944003</x:v>
      </x:c>
      <x:c r="T142" s="38" t="n">
        <x:f>P142/S142-1</x:f>
        <x:v>-0.12891215522654953</x:v>
      </x:c>
      <x:c r="U142" s="33" t="n">
        <x:f>IF(AND(L142=1,L141=0),1,0)</x:f>
        <x:v>0</x:v>
      </x:c>
      <x:c r="V142" s="33" t="n">
        <x:f>IF(AND(L142=0,L141=1),1,0)</x:f>
        <x:v>0</x:v>
      </x:c>
      <x:c r="W142" s="33" t="n">
        <x:f>IF(L142=K141,0,1)</x:f>
        <x:v>0</x:v>
      </x:c>
    </x:row>
    <x:row r="143">
      <x:c r="A143" s="29" t="n">
        <x:v>46057.604166666664</x:v>
      </x:c>
      <x:c r="B143" s="30" t="n">
        <x:v>179.4600067138672</x:v>
      </x:c>
      <x:c r="C143" s="30" t="n">
        <x:v>179.5800018310547</x:v>
      </x:c>
      <x:c r="D143" s="30" t="n">
        <x:v>171.91000366210938</x:v>
      </x:c>
      <x:c r="E143" s="30" t="n">
        <x:v>174.19000244140625</x:v>
      </x:c>
      <x:c r="F143" s="30" t="n">
        <x:v>173.97779846191406</x:v>
      </x:c>
      <x:c r="G143" s="31" t="n">
        <x:v>207014100</x:v>
      </x:c>
      <x:c r="H143" s="32" t="n">
        <x:f>F143/F142-1</x:f>
        <x:v>-0.03410221846767858</x:v>
      </x:c>
      <x:c r="I143" s="35" t="n">
        <x:f>AVERAGE(F124:F143)</x:f>
        <x:v>185.29250106811523</x:v>
      </x:c>
      <x:c r="J143" s="35" t="n">
        <x:f>AVERAGE(F94:F143)</x:f>
        <x:v>183.4242807006836</x:v>
      </x:c>
      <x:c r="K143" s="33" t="n">
        <x:f>IF(COUNT(I143:J143)=2,IF(I143&gt;J143,1,0),0)</x:f>
        <x:v>1</x:v>
      </x:c>
      <x:c r="L143" s="33" t="n">
        <x:f>K142</x:f>
        <x:v>1</x:v>
      </x:c>
      <x:c r="M143" s="36" t="n">
        <x:f>L143*H143-IF(L143&lt;&gt;L142,'Assumptions'!$B$7+'Assumptions'!$B$8,0)</x:f>
        <x:v>-0.03410221846767858</x:v>
      </x:c>
      <x:c r="N143" s="37" t="n">
        <x:f>N142*(1+M143)</x:f>
        <x:v>0.8979598417524984</x:v>
      </x:c>
      <x:c r="O143" s="36" t="n">
        <x:f>H143</x:f>
        <x:v>-0.03410221846767858</x:v>
      </x:c>
      <x:c r="P143" s="37" t="n">
        <x:f>P142*(1+O143)</x:f>
        <x:v>1.0195390211253654</x:v>
      </x:c>
      <x:c r="Q143" s="34" t="n">
        <x:f>MAX(Q142,N143)</x:f>
        <x:v>1.102391214096513</x:v>
      </x:c>
      <x:c r="R143" s="38" t="n">
        <x:f>N143/Q143-1</x:f>
        <x:v>-0.1854435791304455</x:v>
      </x:c>
      <x:c r="S143" s="39" t="n">
        <x:f>MAX(S142,P143)</x:f>
        <x:v>1.2117435874944003</x:v>
      </x:c>
      <x:c r="T143" s="38" t="n">
        <x:f>P143/S143-1</x:f>
        <x:v>-0.15861818321355303</x:v>
      </x:c>
      <x:c r="U143" s="33" t="n">
        <x:f>IF(AND(L143=1,L142=0),1,0)</x:f>
        <x:v>0</x:v>
      </x:c>
      <x:c r="V143" s="33" t="n">
        <x:f>IF(AND(L143=0,L142=1),1,0)</x:f>
        <x:v>0</x:v>
      </x:c>
      <x:c r="W143" s="33" t="n">
        <x:f>IF(L143=K142,0,1)</x:f>
        <x:v>0</x:v>
      </x:c>
    </x:row>
    <x:row r="144">
      <x:c r="A144" s="29" t="n">
        <x:v>46058.604166666664</x:v>
      </x:c>
      <x:c r="B144" s="30" t="n">
        <x:v>174.92999267578125</x:v>
      </x:c>
      <x:c r="C144" s="30" t="n">
        <x:v>176.82000732421875</x:v>
      </x:c>
      <x:c r="D144" s="30" t="n">
        <x:v>171.02999877929688</x:v>
      </x:c>
      <x:c r="E144" s="30" t="n">
        <x:v>171.8800048828125</x:v>
      </x:c>
      <x:c r="F144" s="30" t="n">
        <x:v>171.6706085205078</x:v>
      </x:c>
      <x:c r="G144" s="31" t="n">
        <x:v>206312900</x:v>
      </x:c>
      <x:c r="H144" s="32" t="n">
        <x:f>F144/F143-1</x:f>
        <x:v>-0.013261404396442744</x:v>
      </x:c>
      <x:c r="I144" s="35" t="n">
        <x:f>AVERAGE(F125:F144)</x:f>
        <x:v>184.43205032348632</x:v>
      </x:c>
      <x:c r="J144" s="35" t="n">
        <x:f>AVERAGE(F95:F144)</x:f>
        <x:v>183.2846499633789</x:v>
      </x:c>
      <x:c r="K144" s="33" t="n">
        <x:f>IF(COUNT(I144:J144)=2,IF(I144&gt;J144,1,0),0)</x:f>
        <x:v>1</x:v>
      </x:c>
      <x:c r="L144" s="33" t="n">
        <x:f>K143</x:f>
        <x:v>1</x:v>
      </x:c>
      <x:c r="M144" s="36" t="n">
        <x:f>L144*H144-IF(L144&lt;&gt;L143,'Assumptions'!$B$7+'Assumptions'!$B$8,0)</x:f>
        <x:v>-0.013261404396442744</x:v>
      </x:c>
      <x:c r="N144" s="37" t="n">
        <x:f>N143*(1+M144)</x:f>
        <x:v>0.8860516331592528</x:v>
      </x:c>
      <x:c r="O144" s="36" t="n">
        <x:f>H144</x:f>
        <x:v>-0.013261404396442744</x:v>
      </x:c>
      <x:c r="P144" s="37" t="n">
        <x:f>P143*(1+O144)</x:f>
        <x:v>1.0060185018682686</x:v>
      </x:c>
      <x:c r="Q144" s="34" t="n">
        <x:f>MAX(Q143,N144)</x:f>
        <x:v>1.102391214096513</x:v>
      </x:c>
      <x:c r="R144" s="38" t="n">
        <x:f>N144/Q144-1</x:f>
        <x:v>-0.19624574123131566</x:v>
      </x:c>
      <x:c r="S144" s="39" t="n">
        <x:f>MAX(S143,P144)</x:f>
        <x:v>1.2117435874944003</x:v>
      </x:c>
      <x:c r="T144" s="38" t="n">
        <x:f>P144/S144-1</x:f>
        <x:v>-0.16977608773777186</x:v>
      </x:c>
      <x:c r="U144" s="33" t="n">
        <x:f>IF(AND(L144=1,L143=0),1,0)</x:f>
        <x:v>0</x:v>
      </x:c>
      <x:c r="V144" s="33" t="n">
        <x:f>IF(AND(L144=0,L143=1),1,0)</x:f>
        <x:v>0</x:v>
      </x:c>
      <x:c r="W144" s="33" t="n">
        <x:f>IF(L144=K143,0,1)</x:f>
        <x:v>0</x:v>
      </x:c>
    </x:row>
    <x:row r="145">
      <x:c r="A145" s="29" t="n">
        <x:v>46059.604166666664</x:v>
      </x:c>
      <x:c r="B145" s="30" t="n">
        <x:v>176.69000244140625</x:v>
      </x:c>
      <x:c r="C145" s="30" t="n">
        <x:v>187</x:v>
      </x:c>
      <x:c r="D145" s="30" t="n">
        <x:v>174.60000610351562</x:v>
      </x:c>
      <x:c r="E145" s="30" t="n">
        <x:v>185.41000366210938</x:v>
      </x:c>
      <x:c r="F145" s="30" t="n">
        <x:v>185.1841278076172</x:v>
      </x:c>
      <x:c r="G145" s="31" t="n">
        <x:v>231346200</x:v>
      </x:c>
      <x:c r="H145" s="32" t="n">
        <x:f>F145/F144-1</x:f>
        <x:v>0.07871772229137908</x:v>
      </x:c>
      <x:c r="I145" s="35" t="n">
        <x:f>AVERAGE(F126:F145)</x:f>
        <x:v>184.4505271911621</x:v>
      </x:c>
      <x:c r="J145" s="35" t="n">
        <x:f>AVERAGE(F96:F145)</x:f>
        <x:v>183.34198303222655</x:v>
      </x:c>
      <x:c r="K145" s="33" t="n">
        <x:f>IF(COUNT(I145:J145)=2,IF(I145&gt;J145,1,0),0)</x:f>
        <x:v>1</x:v>
      </x:c>
      <x:c r="L145" s="33" t="n">
        <x:f>K144</x:f>
        <x:v>1</x:v>
      </x:c>
      <x:c r="M145" s="36" t="n">
        <x:f>L145*H145-IF(L145&lt;&gt;L144,'Assumptions'!$B$7+'Assumptions'!$B$8,0)</x:f>
        <x:v>0.07871772229137908</x:v>
      </x:c>
      <x:c r="N145" s="37" t="n">
        <x:f>N144*(1+M145)</x:f>
        <x:v>0.9557995995541058</x:v>
      </x:c>
      <x:c r="O145" s="36" t="n">
        <x:f>H145</x:f>
        <x:v>0.07871772229137908</x:v>
      </x:c>
      <x:c r="P145" s="37" t="n">
        <x:f>P144*(1+O145)</x:f>
        <x:v>1.0852099869183243</x:v>
      </x:c>
      <x:c r="Q145" s="34" t="n">
        <x:f>MAX(Q144,N145)</x:f>
        <x:v>1.102391214096513</x:v>
      </x:c>
      <x:c r="R145" s="38" t="n">
        <x:f>N145/Q145-1</x:f>
        <x:v>-0.13297603669904923</x:v>
      </x:c>
      <x:c r="S145" s="39" t="n">
        <x:f>MAX(S144,P145)</x:f>
        <x:v>1.2117435874944003</x:v>
      </x:c>
      <x:c r="T145" s="38" t="n">
        <x:f>P145/S145-1</x:f>
        <x:v>-0.10442275237265142</x:v>
      </x:c>
      <x:c r="U145" s="33" t="n">
        <x:f>IF(AND(L145=1,L144=0),1,0)</x:f>
        <x:v>0</x:v>
      </x:c>
      <x:c r="V145" s="33" t="n">
        <x:f>IF(AND(L145=0,L144=1),1,0)</x:f>
        <x:v>0</x:v>
      </x:c>
      <x:c r="W145" s="33" t="n">
        <x:f>IF(L145=K144,0,1)</x:f>
        <x:v>0</x:v>
      </x:c>
    </x:row>
    <x:row r="146">
      <x:c r="A146" s="29" t="n">
        <x:v>46062.604166666664</x:v>
      </x:c>
      <x:c r="B146" s="30" t="n">
        <x:v>184.25999450683594</x:v>
      </x:c>
      <x:c r="C146" s="30" t="n">
        <x:v>193.66000366210938</x:v>
      </x:c>
      <x:c r="D146" s="30" t="n">
        <x:v>183.9499969482422</x:v>
      </x:c>
      <x:c r="E146" s="30" t="n">
        <x:v>190.0399932861328</x:v>
      </x:c>
      <x:c r="F146" s="30" t="n">
        <x:v>189.80848693847656</x:v>
      </x:c>
      <x:c r="G146" s="31" t="n">
        <x:v>196387400</x:v>
      </x:c>
      <x:c r="H146" s="32" t="n">
        <x:f>F146/F145-1</x:f>
        <x:v>0.024971681890920472</x:v>
      </x:c>
      <x:c r="I146" s="35" t="n">
        <x:f>AVERAGE(F127:F146)</x:f>
        <x:v>184.70921173095704</x:v>
      </x:c>
      <x:c r="J146" s="35" t="n">
        <x:f>AVERAGE(F97:F146)</x:f>
        <x:v>183.58628295898438</x:v>
      </x:c>
      <x:c r="K146" s="33" t="n">
        <x:f>IF(COUNT(I146:J146)=2,IF(I146&gt;J146,1,0),0)</x:f>
        <x:v>1</x:v>
      </x:c>
      <x:c r="L146" s="33" t="n">
        <x:f>K145</x:f>
        <x:v>1</x:v>
      </x:c>
      <x:c r="M146" s="36" t="n">
        <x:f>L146*H146-IF(L146&lt;&gt;L145,'Assumptions'!$B$7+'Assumptions'!$B$8,0)</x:f>
        <x:v>0.024971681890920472</x:v>
      </x:c>
      <x:c r="N146" s="37" t="n">
        <x:f>N145*(1+M146)</x:f>
        <x:v>0.9796675231056401</x:v>
      </x:c>
      <x:c r="O146" s="36" t="n">
        <x:f>H146</x:f>
        <x:v>0.024971681890920472</x:v>
      </x:c>
      <x:c r="P146" s="37" t="n">
        <x:f>P145*(1+O146)</x:f>
        <x:v>1.1123095054964987</x:v>
      </x:c>
      <x:c r="Q146" s="34" t="n">
        <x:f>MAX(Q145,N146)</x:f>
        <x:v>1.102391214096513</x:v>
      </x:c>
      <x:c r="R146" s="38" t="n">
        <x:f>N146/Q146-1</x:f>
        <x:v>-0.11132499009569274</x:v>
      </x:c>
      <x:c r="S146" s="39" t="n">
        <x:f>MAX(S145,P146)</x:f>
        <x:v>1.2117435874944003</x:v>
      </x:c>
      <x:c r="T146" s="38" t="n">
        <x:f>P146/S146-1</x:f>
        <x:v>-0.08205868223615509</x:v>
      </x:c>
      <x:c r="U146" s="33" t="n">
        <x:f>IF(AND(L146=1,L145=0),1,0)</x:f>
        <x:v>0</x:v>
      </x:c>
      <x:c r="V146" s="33" t="n">
        <x:f>IF(AND(L146=0,L145=1),1,0)</x:f>
        <x:v>0</x:v>
      </x:c>
      <x:c r="W146" s="33" t="n">
        <x:f>IF(L146=K145,0,1)</x:f>
        <x:v>0</x:v>
      </x:c>
    </x:row>
    <x:row r="147">
      <x:c r="A147" s="29" t="n">
        <x:v>46063.604166666664</x:v>
      </x:c>
      <x:c r="B147" s="30" t="n">
        <x:v>191.3800048828125</x:v>
      </x:c>
      <x:c r="C147" s="30" t="n">
        <x:v>192.47999572753906</x:v>
      </x:c>
      <x:c r="D147" s="30" t="n">
        <x:v>188.1199951171875</x:v>
      </x:c>
      <x:c r="E147" s="30" t="n">
        <x:v>188.5399932861328</x:v>
      </x:c>
      <x:c r="F147" s="30" t="n">
        <x:v>188.31031799316406</x:v>
      </x:c>
      <x:c r="G147" s="31" t="n">
        <x:v>136764800</x:v>
      </x:c>
      <x:c r="H147" s="32" t="n">
        <x:f>F147/F146-1</x:f>
        <x:v>-0.007893055623999112</x:v>
      </x:c>
      <x:c r="I147" s="35" t="n">
        <x:f>AVERAGE(F128:F147)</x:f>
        <x:v>184.8889923095703</x:v>
      </x:c>
      <x:c r="J147" s="35" t="n">
        <x:f>AVERAGE(F98:F147)</x:f>
        <x:v>183.7518817138672</x:v>
      </x:c>
      <x:c r="K147" s="33" t="n">
        <x:f>IF(COUNT(I147:J147)=2,IF(I147&gt;J147,1,0),0)</x:f>
        <x:v>1</x:v>
      </x:c>
      <x:c r="L147" s="33" t="n">
        <x:f>K146</x:f>
        <x:v>1</x:v>
      </x:c>
      <x:c r="M147" s="36" t="n">
        <x:f>L147*H147-IF(L147&lt;&gt;L146,'Assumptions'!$B$7+'Assumptions'!$B$8,0)</x:f>
        <x:v>-0.007893055623999112</x:v>
      </x:c>
      <x:c r="N147" s="37" t="n">
        <x:f>N146*(1+M147)</x:f>
        <x:v>0.9719349528527418</x:v>
      </x:c>
      <x:c r="O147" s="36" t="n">
        <x:f>H147</x:f>
        <x:v>-0.007893055623999112</x:v>
      </x:c>
      <x:c r="P147" s="37" t="n">
        <x:f>P146*(1+O147)</x:f>
        <x:v>1.1035299846985118</x:v>
      </x:c>
      <x:c r="Q147" s="34" t="n">
        <x:f>MAX(Q146,N147)</x:f>
        <x:v>1.102391214096513</x:v>
      </x:c>
      <x:c r="R147" s="38" t="n">
        <x:f>N147/Q147-1</x:f>
        <x:v>-0.11833935138052543</x:v>
      </x:c>
      <x:c r="S147" s="39" t="n">
        <x:f>MAX(S146,P147)</x:f>
        <x:v>1.2117435874944003</x:v>
      </x:c>
      <x:c r="T147" s="38" t="n">
        <x:f>P147/S147-1</x:f>
        <x:v>-0.08930404411683224</x:v>
      </x:c>
      <x:c r="U147" s="33" t="n">
        <x:f>IF(AND(L147=1,L146=0),1,0)</x:f>
        <x:v>0</x:v>
      </x:c>
      <x:c r="V147" s="33" t="n">
        <x:f>IF(AND(L147=0,L146=1),1,0)</x:f>
        <x:v>0</x:v>
      </x:c>
      <x:c r="W147" s="33" t="n">
        <x:f>IF(L147=K146,0,1)</x:f>
        <x:v>0</x:v>
      </x:c>
    </x:row>
    <x:row r="148">
      <x:c r="A148" s="29" t="n">
        <x:v>46064.604166666664</x:v>
      </x:c>
      <x:c r="B148" s="30" t="n">
        <x:v>192.4499969482422</x:v>
      </x:c>
      <x:c r="C148" s="30" t="n">
        <x:v>193.25999450683594</x:v>
      </x:c>
      <x:c r="D148" s="30" t="n">
        <x:v>188.77000427246094</x:v>
      </x:c>
      <x:c r="E148" s="30" t="n">
        <x:v>190.0500030517578</x:v>
      </x:c>
      <x:c r="F148" s="30" t="n">
        <x:v>189.8184814453125</x:v>
      </x:c>
      <x:c r="G148" s="31" t="n">
        <x:v>144192700</x:v>
      </x:c>
      <x:c r="H148" s="32" t="n">
        <x:f>F148/F147-1</x:f>
        <x:v>0.00800892626713745</x:v>
      </x:c>
      <x:c r="I148" s="35" t="n">
        <x:f>AVERAGE(F129:F148)</x:f>
        <x:v>185.1007339477539</x:v>
      </x:c>
      <x:c r="J148" s="35" t="n">
        <x:f>AVERAGE(F99:F148)</x:f>
        <x:v>184.01276062011718</x:v>
      </x:c>
      <x:c r="K148" s="33" t="n">
        <x:f>IF(COUNT(I148:J148)=2,IF(I148&gt;J148,1,0),0)</x:f>
        <x:v>1</x:v>
      </x:c>
      <x:c r="L148" s="33" t="n">
        <x:f>K147</x:f>
        <x:v>1</x:v>
      </x:c>
      <x:c r="M148" s="36" t="n">
        <x:f>L148*H148-IF(L148&lt;&gt;L147,'Assumptions'!$B$7+'Assumptions'!$B$8,0)</x:f>
        <x:v>0.00800892626713745</x:v>
      </x:c>
      <x:c r="N148" s="37" t="n">
        <x:f>N147*(1+M148)</x:f>
        <x:v>0.9797191082265931</x:v>
      </x:c>
      <x:c r="O148" s="36" t="n">
        <x:f>H148</x:f>
        <x:v>0.00800892626713745</x:v>
      </x:c>
      <x:c r="P148" s="37" t="n">
        <x:f>P147*(1+O148)</x:f>
        <x:v>1.1123680749795375</x:v>
      </x:c>
      <x:c r="Q148" s="34" t="n">
        <x:f>MAX(Q147,N148)</x:f>
        <x:v>1.102391214096513</x:v>
      </x:c>
      <x:c r="R148" s="38" t="n">
        <x:f>N148/Q148-1</x:f>
        <x:v>-0.11127819625309543</x:v>
      </x:c>
      <x:c r="S148" s="39" t="n">
        <x:f>MAX(S147,P148)</x:f>
        <x:v>1.2117435874944003</x:v>
      </x:c>
      <x:c r="T148" s="38" t="n">
        <x:f>P148/S148-1</x:f>
        <x:v>-0.08201034735438362</x:v>
      </x:c>
      <x:c r="U148" s="33" t="n">
        <x:f>IF(AND(L148=1,L147=0),1,0)</x:f>
        <x:v>0</x:v>
      </x:c>
      <x:c r="V148" s="33" t="n">
        <x:f>IF(AND(L148=0,L147=1),1,0)</x:f>
        <x:v>0</x:v>
      </x:c>
      <x:c r="W148" s="33" t="n">
        <x:f>IF(L148=K147,0,1)</x:f>
        <x:v>0</x:v>
      </x:c>
    </x:row>
    <x:row r="149">
      <x:c r="A149" s="29" t="n">
        <x:v>46065.604166666664</x:v>
      </x:c>
      <x:c r="B149" s="30" t="n">
        <x:v>193.02999877929688</x:v>
      </x:c>
      <x:c r="C149" s="30" t="n">
        <x:v>193.61000061035156</x:v>
      </x:c>
      <x:c r="D149" s="30" t="n">
        <x:v>186.50999450683594</x:v>
      </x:c>
      <x:c r="E149" s="30" t="n">
        <x:v>186.94000244140625</x:v>
      </x:c>
      <x:c r="F149" s="30" t="n">
        <x:v>186.7122802734375</x:v>
      </x:c>
      <x:c r="G149" s="31" t="n">
        <x:v>189932500</x:v>
      </x:c>
      <x:c r="H149" s="32" t="n">
        <x:f>F149/F148-1</x:f>
        <x:v>-0.016364060802846025</x:v>
      </x:c>
      <x:c r="I149" s="35" t="n">
        <x:f>AVERAGE(F130:F149)</x:f>
        <x:v>185.29050369262694</x:v>
      </x:c>
      <x:c r="J149" s="35" t="n">
        <x:f>AVERAGE(F100:F149)</x:f>
        <x:v>184.15318969726562</x:v>
      </x:c>
      <x:c r="K149" s="33" t="n">
        <x:f>IF(COUNT(I149:J149)=2,IF(I149&gt;J149,1,0),0)</x:f>
        <x:v>1</x:v>
      </x:c>
      <x:c r="L149" s="33" t="n">
        <x:f>K148</x:f>
        <x:v>1</x:v>
      </x:c>
      <x:c r="M149" s="36" t="n">
        <x:f>L149*H149-IF(L149&lt;&gt;L148,'Assumptions'!$B$7+'Assumptions'!$B$8,0)</x:f>
        <x:v>-0.016364060802846025</x:v>
      </x:c>
      <x:c r="N149" s="37" t="n">
        <x:f>N148*(1+M149)</x:f>
        <x:v>0.9636869251698631</x:v>
      </x:c>
      <x:c r="O149" s="36" t="n">
        <x:f>H149</x:f>
        <x:v>-0.016364060802846025</x:v>
      </x:c>
      <x:c r="P149" s="37" t="n">
        <x:f>P148*(1+O149)</x:f>
        <x:v>1.0941652161654276</x:v>
      </x:c>
      <x:c r="Q149" s="34" t="n">
        <x:f>MAX(Q148,N149)</x:f>
        <x:v>1.102391214096513</x:v>
      </x:c>
      <x:c r="R149" s="38" t="n">
        <x:f>N149/Q149-1</x:f>
        <x:v>-0.12582129388642482</x:v>
      </x:c>
      <x:c r="S149" s="39" t="n">
        <x:f>MAX(S148,P149)</x:f>
        <x:v>1.2117435874944003</x:v>
      </x:c>
      <x:c r="T149" s="38" t="n">
        <x:f>P149/S149-1</x:f>
        <x:v>-0.09703238584665996</x:v>
      </x:c>
      <x:c r="U149" s="33" t="n">
        <x:f>IF(AND(L149=1,L148=0),1,0)</x:f>
        <x:v>0</x:v>
      </x:c>
      <x:c r="V149" s="33" t="n">
        <x:f>IF(AND(L149=0,L148=1),1,0)</x:f>
        <x:v>0</x:v>
      </x:c>
      <x:c r="W149" s="33" t="n">
        <x:f>IF(L149=K148,0,1)</x:f>
        <x:v>0</x:v>
      </x:c>
    </x:row>
    <x:row r="150">
      <x:c r="A150" s="29" t="n">
        <x:v>46066.604166666664</x:v>
      </x:c>
      <x:c r="B150" s="30" t="n">
        <x:v>187.47999572753906</x:v>
      </x:c>
      <x:c r="C150" s="30" t="n">
        <x:v>187.5</x:v>
      </x:c>
      <x:c r="D150" s="30" t="n">
        <x:v>181.58999633789062</x:v>
      </x:c>
      <x:c r="E150" s="30" t="n">
        <x:v>182.80999755859375</x:v>
      </x:c>
      <x:c r="F150" s="30" t="n">
        <x:v>182.58731079101562</x:v>
      </x:c>
      <x:c r="G150" s="31" t="n">
        <x:v>161888000</x:v>
      </x:c>
      <x:c r="H150" s="32" t="n">
        <x:f>F150/F149-1</x:f>
        <x:v>-0.02209265226893975</x:v>
      </x:c>
      <x:c r="I150" s="35" t="n">
        <x:f>AVERAGE(F131:F150)</x:f>
        <x:v>185.07876205444336</x:v>
      </x:c>
      <x:c r="J150" s="35" t="n">
        <x:f>AVERAGE(F101:F150)</x:f>
        <x:v>184.18035888671875</x:v>
      </x:c>
      <x:c r="K150" s="33" t="n">
        <x:f>IF(COUNT(I150:J150)=2,IF(I150&gt;J150,1,0),0)</x:f>
        <x:v>1</x:v>
      </x:c>
      <x:c r="L150" s="33" t="n">
        <x:f>K149</x:f>
        <x:v>1</x:v>
      </x:c>
      <x:c r="M150" s="36" t="n">
        <x:f>L150*H150-IF(L150&lt;&gt;L149,'Assumptions'!$B$7+'Assumptions'!$B$8,0)</x:f>
        <x:v>-0.02209265226893975</x:v>
      </x:c>
      <x:c r="N150" s="37" t="n">
        <x:f>N149*(1+M150)</x:f>
        <x:v>0.9423965250359615</x:v>
      </x:c>
      <x:c r="O150" s="36" t="n">
        <x:f>H150</x:f>
        <x:v>-0.02209265226893975</x:v>
      </x:c>
      <x:c r="P150" s="37" t="n">
        <x:f>P149*(1+O150)</x:f>
        <x:v>1.0699922045199155</x:v>
      </x:c>
      <x:c r="Q150" s="34" t="n">
        <x:f>MAX(Q149,N150)</x:f>
        <x:v>1.102391214096513</x:v>
      </x:c>
      <x:c r="R150" s="38" t="n">
        <x:f>N150/Q150-1</x:f>
        <x:v>-0.14513422006150367</x:v>
      </x:c>
      <x:c r="S150" s="39" t="n">
        <x:f>MAX(S149,P150)</x:f>
        <x:v>1.2117435874944003</x:v>
      </x:c>
      <x:c r="T150" s="38" t="n">
        <x:f>P150/S150-1</x:f>
        <x:v>-0.11698133535626387</x:v>
      </x:c>
      <x:c r="U150" s="33" t="n">
        <x:f>IF(AND(L150=1,L149=0),1,0)</x:f>
        <x:v>0</x:v>
      </x:c>
      <x:c r="V150" s="33" t="n">
        <x:f>IF(AND(L150=0,L149=1),1,0)</x:f>
        <x:v>0</x:v>
      </x:c>
      <x:c r="W150" s="33" t="n">
        <x:f>IF(L150=K149,0,1)</x:f>
        <x:v>0</x:v>
      </x:c>
    </x:row>
    <x:row r="151">
      <x:c r="A151" s="29" t="n">
        <x:v>46070.604166666664</x:v>
      </x:c>
      <x:c r="B151" s="30" t="n">
        <x:v>181.75</x:v>
      </x:c>
      <x:c r="C151" s="30" t="n">
        <x:v>187.14999389648438</x:v>
      </x:c>
      <x:c r="D151" s="30" t="n">
        <x:v>179.17999267578125</x:v>
      </x:c>
      <x:c r="E151" s="30" t="n">
        <x:v>184.97000122070312</x:v>
      </x:c>
      <x:c r="F151" s="30" t="n">
        <x:v>184.7446746826172</x:v>
      </x:c>
      <x:c r="G151" s="31" t="n">
        <x:v>162276900</x:v>
      </x:c>
      <x:c r="H151" s="32" t="n">
        <x:f>F151/F150-1</x:f>
        <x:v>0.011815519283652876</x:v>
      </x:c>
      <x:c r="I151" s="35" t="n">
        <x:f>AVERAGE(F132:F151)</x:f>
        <x:v>185.01583938598634</x:v>
      </x:c>
      <x:c r="J151" s="35" t="n">
        <x:f>AVERAGE(F102:F151)</x:f>
        <x:v>184.28802764892578</x:v>
      </x:c>
      <x:c r="K151" s="33" t="n">
        <x:f>IF(COUNT(I151:J151)=2,IF(I151&gt;J151,1,0),0)</x:f>
        <x:v>1</x:v>
      </x:c>
      <x:c r="L151" s="33" t="n">
        <x:f>K150</x:f>
        <x:v>1</x:v>
      </x:c>
      <x:c r="M151" s="36" t="n">
        <x:f>L151*H151-IF(L151&lt;&gt;L150,'Assumptions'!$B$7+'Assumptions'!$B$8,0)</x:f>
        <x:v>0.011815519283652876</x:v>
      </x:c>
      <x:c r="N151" s="37" t="n">
        <x:f>N150*(1+M151)</x:f>
        <x:v>0.9535314293503714</x:v>
      </x:c>
      <x:c r="O151" s="36" t="n">
        <x:f>H151</x:f>
        <x:v>0.011815519283652876</x:v>
      </x:c>
      <x:c r="P151" s="37" t="n">
        <x:f>P150*(1+O151)</x:f>
        <x:v>1.0826347180457787</x:v>
      </x:c>
      <x:c r="Q151" s="34" t="n">
        <x:f>MAX(Q150,N151)</x:f>
        <x:v>1.102391214096513</x:v>
      </x:c>
      <x:c r="R151" s="38" t="n">
        <x:f>N151/Q151-1</x:f>
        <x:v>-0.13503353695370546</x:v>
      </x:c>
      <x:c r="S151" s="39" t="n">
        <x:f>MAX(S150,P151)</x:f>
        <x:v>1.2117435874944003</x:v>
      </x:c>
      <x:c r="T151" s="38" t="n">
        <x:f>P151/S151-1</x:f>
        <x:v>-0.1065480112963405</x:v>
      </x:c>
      <x:c r="U151" s="33" t="n">
        <x:f>IF(AND(L151=1,L150=0),1,0)</x:f>
        <x:v>0</x:v>
      </x:c>
      <x:c r="V151" s="33" t="n">
        <x:f>IF(AND(L151=0,L150=1),1,0)</x:f>
        <x:v>0</x:v>
      </x:c>
      <x:c r="W151" s="33" t="n">
        <x:f>IF(L151=K150,0,1)</x:f>
        <x:v>0</x:v>
      </x:c>
    </x:row>
    <x:row r="152">
      <x:c r="A152" s="29" t="n">
        <x:v>46071.604166666664</x:v>
      </x:c>
      <x:c r="B152" s="30" t="n">
        <x:v>188.75</x:v>
      </x:c>
      <x:c r="C152" s="30" t="n">
        <x:v>190.3699951171875</x:v>
      </x:c>
      <x:c r="D152" s="30" t="n">
        <x:v>186.75999450683594</x:v>
      </x:c>
      <x:c r="E152" s="30" t="n">
        <x:v>187.97999572753906</x:v>
      </x:c>
      <x:c r="F152" s="30" t="n">
        <x:v>187.75099182128906</x:v>
      </x:c>
      <x:c r="G152" s="31" t="n">
        <x:v>164749100</x:v>
      </x:c>
      <x:c r="H152" s="32" t="n">
        <x:f>F152/F151-1</x:f>
        <x:v>0.01627282163254007</x:v>
      </x:c>
      <x:c r="I152" s="35" t="n">
        <x:f>AVERAGE(F133:F152)</x:f>
        <x:v>185.51073532104493</x:v>
      </x:c>
      <x:c r="J152" s="35" t="n">
        <x:f>AVERAGE(F103:F152)</x:f>
        <x:v>184.3799151611328</x:v>
      </x:c>
      <x:c r="K152" s="33" t="n">
        <x:f>IF(COUNT(I152:J152)=2,IF(I152&gt;J152,1,0),0)</x:f>
        <x:v>1</x:v>
      </x:c>
      <x:c r="L152" s="33" t="n">
        <x:f>K151</x:f>
        <x:v>1</x:v>
      </x:c>
      <x:c r="M152" s="36" t="n">
        <x:f>L152*H152-IF(L152&lt;&gt;L151,'Assumptions'!$B$7+'Assumptions'!$B$8,0)</x:f>
        <x:v>0.01627282163254007</x:v>
      </x:c>
      <x:c r="N152" s="37" t="n">
        <x:f>N151*(1+M152)</x:f>
        <x:v>0.9690480762212109</x:v>
      </x:c>
      <x:c r="O152" s="36" t="n">
        <x:f>H152</x:f>
        <x:v>0.01627282163254007</x:v>
      </x:c>
      <x:c r="P152" s="37" t="n">
        <x:f>P151*(1+O152)</x:f>
        <x:v>1.100252239705733</x:v>
      </x:c>
      <x:c r="Q152" s="34" t="n">
        <x:f>MAX(Q151,N152)</x:f>
        <x:v>1.102391214096513</x:v>
      </x:c>
      <x:c r="R152" s="38" t="n">
        <x:f>N152/Q152-1</x:f>
        <x:v>-0.12095809198242402</x:v>
      </x:c>
      <x:c r="S152" s="39" t="n">
        <x:f>MAX(S151,P152)</x:f>
        <x:v>1.2117435874944003</x:v>
      </x:c>
      <x:c r="T152" s="38" t="n">
        <x:f>P152/S152-1</x:f>
        <x:v>-0.09200902644692766</x:v>
      </x:c>
      <x:c r="U152" s="33" t="n">
        <x:f>IF(AND(L152=1,L151=0),1,0)</x:f>
        <x:v>0</x:v>
      </x:c>
      <x:c r="V152" s="33" t="n">
        <x:f>IF(AND(L152=0,L151=1),1,0)</x:f>
        <x:v>0</x:v>
      </x:c>
      <x:c r="W152" s="33" t="n">
        <x:f>IF(L152=K151,0,1)</x:f>
        <x:v>0</x:v>
      </x:c>
    </x:row>
    <x:row r="153">
      <x:c r="A153" s="29" t="n">
        <x:v>46072.604166666664</x:v>
      </x:c>
      <x:c r="B153" s="30" t="n">
        <x:v>187.05999755859375</x:v>
      </x:c>
      <x:c r="C153" s="30" t="n">
        <x:v>188.42999267578125</x:v>
      </x:c>
      <x:c r="D153" s="30" t="n">
        <x:v>185.66000366210938</x:v>
      </x:c>
      <x:c r="E153" s="30" t="n">
        <x:v>187.89999389648438</x:v>
      </x:c>
      <x:c r="F153" s="30" t="n">
        <x:v>187.6710968017578</x:v>
      </x:c>
      <x:c r="G153" s="31" t="n">
        <x:v>126554500</x:v>
      </x:c>
      <x:c r="H153" s="32" t="n">
        <x:f>F153/F152-1</x:f>
        <x:v>-0.0004255371370144312</x:v>
      </x:c>
      <x:c r="I153" s="35" t="n">
        <x:f>AVERAGE(F134:F153)</x:f>
        <x:v>185.73945541381835</x:v>
      </x:c>
      <x:c r="J153" s="35" t="n">
        <x:f>AVERAGE(F104:F153)</x:f>
        <x:v>184.4895812988281</x:v>
      </x:c>
      <x:c r="K153" s="33" t="n">
        <x:f>IF(COUNT(I153:J153)=2,IF(I153&gt;J153,1,0),0)</x:f>
        <x:v>1</x:v>
      </x:c>
      <x:c r="L153" s="33" t="n">
        <x:f>K152</x:f>
        <x:v>1</x:v>
      </x:c>
      <x:c r="M153" s="36" t="n">
        <x:f>L153*H153-IF(L153&lt;&gt;L152,'Assumptions'!$B$7+'Assumptions'!$B$8,0)</x:f>
        <x:v>-0.0004255371370144312</x:v>
      </x:c>
      <x:c r="N153" s="37" t="n">
        <x:f>N152*(1+M153)</x:f>
        <x:v>0.9686357102772264</x:v>
      </x:c>
      <x:c r="O153" s="36" t="n">
        <x:f>H153</x:f>
        <x:v>-0.0004255371370144312</x:v>
      </x:c>
      <x:c r="P153" s="37" t="n">
        <x:f>P152*(1+O153)</x:f>
        <x:v>1.099784041517655</x:v>
      </x:c>
      <x:c r="Q153" s="34" t="n">
        <x:f>MAX(Q152,N153)</x:f>
        <x:v>1.102391214096513</x:v>
      </x:c>
      <x:c r="R153" s="38" t="n">
        <x:f>N153/Q153-1</x:f>
        <x:v>-0.12133215695927757</x:v>
      </x:c>
      <x:c r="S153" s="39" t="n">
        <x:f>MAX(S152,P153)</x:f>
        <x:v>1.2117435874944003</x:v>
      </x:c>
      <x:c r="T153" s="38" t="n">
        <x:f>P153/S153-1</x:f>
        <x:v>-0.09239541032624832</x:v>
      </x:c>
      <x:c r="U153" s="33" t="n">
        <x:f>IF(AND(L153=1,L152=0),1,0)</x:f>
        <x:v>0</x:v>
      </x:c>
      <x:c r="V153" s="33" t="n">
        <x:f>IF(AND(L153=0,L152=1),1,0)</x:f>
        <x:v>0</x:v>
      </x:c>
      <x:c r="W153" s="33" t="n">
        <x:f>IF(L153=K152,0,1)</x:f>
        <x:v>0</x:v>
      </x:c>
    </x:row>
    <x:row r="154">
      <x:c r="A154" s="29" t="n">
        <x:v>46073.604166666664</x:v>
      </x:c>
      <x:c r="B154" s="30" t="n">
        <x:v>186.57000732421875</x:v>
      </x:c>
      <x:c r="C154" s="30" t="n">
        <x:v>190.3300018310547</x:v>
      </x:c>
      <x:c r="D154" s="30" t="n">
        <x:v>185.94000244140625</x:v>
      </x:c>
      <x:c r="E154" s="30" t="n">
        <x:v>189.82000732421875</x:v>
      </x:c>
      <x:c r="F154" s="30" t="n">
        <x:v>189.58877563476562</x:v>
      </x:c>
      <x:c r="G154" s="31" t="n">
        <x:v>178422300</x:v>
      </x:c>
      <x:c r="H154" s="32" t="n">
        <x:f>F154/F153-1</x:f>
        <x:v>0.010218296081220712</x:v>
      </x:c>
      <x:c r="I154" s="35" t="n">
        <x:f>AVERAGE(F135:F154)</x:f>
        <x:v>185.98815307617187</x:v>
      </x:c>
      <x:c r="J154" s="35" t="n">
        <x:f>AVERAGE(F105:F154)</x:f>
        <x:v>184.57487731933594</x:v>
      </x:c>
      <x:c r="K154" s="33" t="n">
        <x:f>IF(COUNT(I154:J154)=2,IF(I154&gt;J154,1,0),0)</x:f>
        <x:v>1</x:v>
      </x:c>
      <x:c r="L154" s="33" t="n">
        <x:f>K153</x:f>
        <x:v>1</x:v>
      </x:c>
      <x:c r="M154" s="36" t="n">
        <x:f>L154*H154-IF(L154&lt;&gt;L153,'Assumptions'!$B$7+'Assumptions'!$B$8,0)</x:f>
        <x:v>0.010218296081220712</x:v>
      </x:c>
      <x:c r="N154" s="37" t="n">
        <x:f>N153*(1+M154)</x:f>
        <x:v>0.9785335167596826</x:v>
      </x:c>
      <x:c r="O154" s="36" t="n">
        <x:f>H154</x:f>
        <x:v>0.010218296081220712</x:v>
      </x:c>
      <x:c r="P154" s="37" t="n">
        <x:f>P153*(1+O154)</x:f>
        <x:v>1.111021960479284</x:v>
      </x:c>
      <x:c r="Q154" s="34" t="n">
        <x:f>MAX(Q153,N154)</x:f>
        <x:v>1.102391214096513</x:v>
      </x:c>
      <x:c r="R154" s="38" t="n">
        <x:f>N154/Q154-1</x:f>
        <x:v>-0.1123536687820399</x:v>
      </x:c>
      <x:c r="S154" s="39" t="n">
        <x:f>MAX(S153,P154)</x:f>
        <x:v>1.2117435874944003</x:v>
      </x:c>
      <x:c r="T154" s="38" t="n">
        <x:f>P154/S154-1</x:f>
        <x:v>-0.08312123790428705</x:v>
      </x:c>
      <x:c r="U154" s="33" t="n">
        <x:f>IF(AND(L154=1,L153=0),1,0)</x:f>
        <x:v>0</x:v>
      </x:c>
      <x:c r="V154" s="33" t="n">
        <x:f>IF(AND(L154=0,L153=1),1,0)</x:f>
        <x:v>0</x:v>
      </x:c>
      <x:c r="W154" s="33" t="n">
        <x:f>IF(L154=K153,0,1)</x:f>
        <x:v>0</x:v>
      </x:c>
    </x:row>
    <x:row r="155">
      <x:c r="A155" s="29" t="n">
        <x:v>46076.604166666664</x:v>
      </x:c>
      <x:c r="B155" s="30" t="n">
        <x:v>191.39999389648438</x:v>
      </x:c>
      <x:c r="C155" s="30" t="n">
        <x:v>193.9499969482422</x:v>
      </x:c>
      <x:c r="D155" s="30" t="n">
        <x:v>189.5800018310547</x:v>
      </x:c>
      <x:c r="E155" s="30" t="n">
        <x:v>191.5500030517578</x:v>
      </x:c>
      <x:c r="F155" s="30" t="n">
        <x:v>191.31666564941406</x:v>
      </x:c>
      <x:c r="G155" s="31" t="n">
        <x:v>171584800</x:v>
      </x:c>
      <x:c r="H155" s="32" t="n">
        <x:f>F155/F154-1</x:f>
        <x:v>0.009113883503194087</x:v>
      </x:c>
      <x:c r="I155" s="35" t="n">
        <x:f>AVERAGE(F136:F155)</x:f>
        <x:v>186.1819175720215</x:v>
      </x:c>
      <x:c r="J155" s="35" t="n">
        <x:f>AVERAGE(F106:F155)</x:f>
        <x:v>184.70631713867186</x:v>
      </x:c>
      <x:c r="K155" s="33" t="n">
        <x:f>IF(COUNT(I155:J155)=2,IF(I155&gt;J155,1,0),0)</x:f>
        <x:v>1</x:v>
      </x:c>
      <x:c r="L155" s="33" t="n">
        <x:f>K154</x:f>
        <x:v>1</x:v>
      </x:c>
      <x:c r="M155" s="36" t="n">
        <x:f>L155*H155-IF(L155&lt;&gt;L154,'Assumptions'!$B$7+'Assumptions'!$B$8,0)</x:f>
        <x:v>0.009113883503194087</x:v>
      </x:c>
      <x:c r="N155" s="37" t="n">
        <x:f>N154*(1+M155)</x:f>
        <x:v>0.9874517572354011</x:v>
      </x:c>
      <x:c r="O155" s="36" t="n">
        <x:f>H155</x:f>
        <x:v>0.009113883503194087</x:v>
      </x:c>
      <x:c r="P155" s="37" t="n">
        <x:f>P154*(1+O155)</x:f>
        <x:v>1.1211476851965825</x:v>
      </x:c>
      <x:c r="Q155" s="34" t="n">
        <x:f>MAX(Q154,N155)</x:f>
        <x:v>1.102391214096513</x:v>
      </x:c>
      <x:c r="R155" s="38" t="n">
        <x:f>N155/Q155-1</x:f>
        <x:v>-0.10426376352728184</x:v>
      </x:c>
      <x:c r="S155" s="39" t="n">
        <x:f>MAX(S154,P155)</x:f>
        <x:v>1.2117435874944003</x:v>
      </x:c>
      <x:c r="T155" s="38" t="n">
        <x:f>P155/S155-1</x:f>
        <x:v>-0.07476491167999388</x:v>
      </x:c>
      <x:c r="U155" s="33" t="n">
        <x:f>IF(AND(L155=1,L154=0),1,0)</x:f>
        <x:v>0</x:v>
      </x:c>
      <x:c r="V155" s="33" t="n">
        <x:f>IF(AND(L155=0,L154=1),1,0)</x:f>
        <x:v>0</x:v>
      </x:c>
      <x:c r="W155" s="33" t="n">
        <x:f>IF(L155=K154,0,1)</x:f>
        <x:v>0</x:v>
      </x:c>
    </x:row>
    <x:row r="156">
      <x:c r="A156" s="29" t="n">
        <x:v>46077.604166666664</x:v>
      </x:c>
      <x:c r="B156" s="30" t="n">
        <x:v>191.49000549316406</x:v>
      </x:c>
      <x:c r="C156" s="30" t="n">
        <x:v>193.77000427246094</x:v>
      </x:c>
      <x:c r="D156" s="30" t="n">
        <x:v>187.39999389648438</x:v>
      </x:c>
      <x:c r="E156" s="30" t="n">
        <x:v>192.85000610351562</x:v>
      </x:c>
      <x:c r="F156" s="30" t="n">
        <x:v>192.61508178710938</x:v>
      </x:c>
      <x:c r="G156" s="31" t="n">
        <x:v>175123600</x:v>
      </x:c>
      <x:c r="H156" s="32" t="n">
        <x:f>F156/F155-1</x:f>
        <x:v>0.006786738276500337</x:v>
      </x:c>
      <x:c r="I156" s="35" t="n">
        <x:f>AVERAGE(F137:F156)</x:f>
        <x:v>186.50052947998046</x:v>
      </x:c>
      <x:c r="J156" s="35" t="n">
        <x:f>AVERAGE(F107:F156)</x:f>
        <x:v>184.88749633789064</x:v>
      </x:c>
      <x:c r="K156" s="33" t="n">
        <x:f>IF(COUNT(I156:J156)=2,IF(I156&gt;J156,1,0),0)</x:f>
        <x:v>1</x:v>
      </x:c>
      <x:c r="L156" s="33" t="n">
        <x:f>K155</x:f>
        <x:v>1</x:v>
      </x:c>
      <x:c r="M156" s="36" t="n">
        <x:f>L156*H156-IF(L156&lt;&gt;L155,'Assumptions'!$B$7+'Assumptions'!$B$8,0)</x:f>
        <x:v>0.006786738276500337</x:v>
      </x:c>
      <x:c r="N156" s="37" t="n">
        <x:f>N155*(1+M156)</x:f>
        <x:v>0.9941533338724281</x:v>
      </x:c>
      <x:c r="O156" s="36" t="n">
        <x:f>H156</x:f>
        <x:v>0.006786738276500337</x:v>
      </x:c>
      <x:c r="P156" s="37" t="n">
        <x:f>P155*(1+O156)</x:f>
        <x:v>1.128756621105316</x:v>
      </x:c>
      <x:c r="Q156" s="34" t="n">
        <x:f>MAX(Q155,N156)</x:f>
        <x:v>1.102391214096513</x:v>
      </x:c>
      <x:c r="R156" s="38" t="n">
        <x:f>N156/Q156-1</x:f>
        <x:v>-0.09818463612556416</x:v>
      </x:c>
      <x:c r="S156" s="39" t="n">
        <x:f>MAX(S155,P156)</x:f>
        <x:v>1.2117435874944003</x:v>
      </x:c>
      <x:c r="T156" s="38" t="n">
        <x:f>P156/S156-1</x:f>
        <x:v>-0.06848558329133125</x:v>
      </x:c>
      <x:c r="U156" s="33" t="n">
        <x:f>IF(AND(L156=1,L155=0),1,0)</x:f>
        <x:v>0</x:v>
      </x:c>
      <x:c r="V156" s="33" t="n">
        <x:f>IF(AND(L156=0,L155=1),1,0)</x:f>
        <x:v>0</x:v>
      </x:c>
      <x:c r="W156" s="33" t="n">
        <x:f>IF(L156=K155,0,1)</x:f>
        <x:v>0</x:v>
      </x:c>
    </x:row>
    <x:row r="157">
      <x:c r="A157" s="29" t="n">
        <x:v>46078.604166666664</x:v>
      </x:c>
      <x:c r="B157" s="30" t="n">
        <x:v>194.4499969482422</x:v>
      </x:c>
      <x:c r="C157" s="30" t="n">
        <x:v>197.6300048828125</x:v>
      </x:c>
      <x:c r="D157" s="30" t="n">
        <x:v>193.7899932861328</x:v>
      </x:c>
      <x:c r="E157" s="30" t="n">
        <x:v>195.55999755859375</x:v>
      </x:c>
      <x:c r="F157" s="30" t="n">
        <x:v>195.32176208496094</x:v>
      </x:c>
      <x:c r="G157" s="31" t="n">
        <x:v>250637100</x:v>
      </x:c>
      <x:c r="H157" s="32" t="n">
        <x:f>F157/F156-1</x:f>
        <x:v>0.014052276035389388</x:v>
      </x:c>
      <x:c r="I157" s="35" t="n">
        <x:f>AVERAGE(F138:F157)</x:f>
        <x:v>186.85210037231445</x:v>
      </x:c>
      <x:c r="J157" s="35" t="n">
        <x:f>AVERAGE(F108:F157)</x:f>
        <x:v>185.17973999023437</x:v>
      </x:c>
      <x:c r="K157" s="33" t="n">
        <x:f>IF(COUNT(I157:J157)=2,IF(I157&gt;J157,1,0),0)</x:f>
        <x:v>1</x:v>
      </x:c>
      <x:c r="L157" s="33" t="n">
        <x:f>K156</x:f>
        <x:v>1</x:v>
      </x:c>
      <x:c r="M157" s="36" t="n">
        <x:f>L157*H157-IF(L157&lt;&gt;L156,'Assumptions'!$B$7+'Assumptions'!$B$8,0)</x:f>
        <x:v>0.014052276035389388</x:v>
      </x:c>
      <x:c r="N157" s="37" t="n">
        <x:f>N156*(1+M157)</x:f>
        <x:v>1.008123450941506</x:v>
      </x:c>
      <x:c r="O157" s="36" t="n">
        <x:f>H157</x:f>
        <x:v>0.014052276035389388</x:v>
      </x:c>
      <x:c r="P157" s="37" t="n">
        <x:f>P156*(1+O157)</x:f>
        <x:v>1.1446182207218614</x:v>
      </x:c>
      <x:c r="Q157" s="34" t="n">
        <x:f>MAX(Q156,N157)</x:f>
        <x:v>1.102391214096513</x:v>
      </x:c>
      <x:c r="R157" s="38" t="n">
        <x:f>N157/Q157-1</x:f>
        <x:v>-0.08551207769944547</x:v>
      </x:c>
      <x:c r="S157" s="39" t="n">
        <x:f>MAX(S156,P157)</x:f>
        <x:v>1.2117435874944003</x:v>
      </x:c>
      <x:c r="T157" s="38" t="n">
        <x:f>P157/S157-1</x:f>
        <x:v>-0.055395685576796194</x:v>
      </x:c>
      <x:c r="U157" s="33" t="n">
        <x:f>IF(AND(L157=1,L156=0),1,0)</x:f>
        <x:v>0</x:v>
      </x:c>
      <x:c r="V157" s="33" t="n">
        <x:f>IF(AND(L157=0,L156=1),1,0)</x:f>
        <x:v>0</x:v>
      </x:c>
      <x:c r="W157" s="33" t="n">
        <x:f>IF(L157=K156,0,1)</x:f>
        <x:v>0</x:v>
      </x:c>
    </x:row>
    <x:row r="158">
      <x:c r="A158" s="29" t="n">
        <x:v>46079.604166666664</x:v>
      </x:c>
      <x:c r="B158" s="30" t="n">
        <x:v>194.27000427246094</x:v>
      </x:c>
      <x:c r="C158" s="30" t="n">
        <x:v>194.2899932861328</x:v>
      </x:c>
      <x:c r="D158" s="30" t="n">
        <x:v>184.32000732421875</x:v>
      </x:c>
      <x:c r="E158" s="30" t="n">
        <x:v>184.88999938964844</x:v>
      </x:c>
      <x:c r="F158" s="30" t="n">
        <x:v>184.66476440429688</x:v>
      </x:c>
      <x:c r="G158" s="31" t="n">
        <x:v>360807900</x:v>
      </x:c>
      <x:c r="H158" s="32" t="n">
        <x:f>F158/F157-1</x:f>
        <x:v>-0.05456124072866231</x:v>
      </x:c>
      <x:c r="I158" s="35" t="n">
        <x:f>AVERAGE(F139:F158)</x:f>
        <x:v>186.52100372314453</x:v>
      </x:c>
      <x:c r="J158" s="35" t="n">
        <x:f>AVERAGE(F109:F158)</x:f>
        <x:v>185.3768994140625</x:v>
      </x:c>
      <x:c r="K158" s="33" t="n">
        <x:f>IF(COUNT(I158:J158)=2,IF(I158&gt;J158,1,0),0)</x:f>
        <x:v>1</x:v>
      </x:c>
      <x:c r="L158" s="33" t="n">
        <x:f>K157</x:f>
        <x:v>1</x:v>
      </x:c>
      <x:c r="M158" s="36" t="n">
        <x:f>L158*H158-IF(L158&lt;&gt;L157,'Assumptions'!$B$7+'Assumptions'!$B$8,0)</x:f>
        <x:v>-0.05456124072866231</x:v>
      </x:c>
      <x:c r="N158" s="37" t="n">
        <x:f>N157*(1+M158)</x:f>
        <x:v>0.9531189846504767</x:v>
      </x:c>
      <x:c r="O158" s="36" t="n">
        <x:f>H158</x:f>
        <x:v>-0.05456124072866231</x:v>
      </x:c>
      <x:c r="P158" s="37" t="n">
        <x:f>P157*(1+O158)</x:f>
        <x:v>1.0821664304386427</x:v>
      </x:c>
      <x:c r="Q158" s="34" t="n">
        <x:f>MAX(Q157,N158)</x:f>
        <x:v>1.102391214096513</x:v>
      </x:c>
      <x:c r="R158" s="38" t="n">
        <x:f>N158/Q158-1</x:f>
        <x:v>-0.13540767337154025</x:v>
      </x:c>
      <x:c r="S158" s="39" t="n">
        <x:f>MAX(S157,P158)</x:f>
        <x:v>1.2117435874944003</x:v>
      </x:c>
      <x:c r="T158" s="38" t="n">
        <x:f>P158/S158-1</x:f>
        <x:v>-0.10693446896937375</x:v>
      </x:c>
      <x:c r="U158" s="33" t="n">
        <x:f>IF(AND(L158=1,L157=0),1,0)</x:f>
        <x:v>0</x:v>
      </x:c>
      <x:c r="V158" s="33" t="n">
        <x:f>IF(AND(L158=0,L157=1),1,0)</x:f>
        <x:v>0</x:v>
      </x:c>
      <x:c r="W158" s="33" t="n">
        <x:f>IF(L158=K157,0,1)</x:f>
        <x:v>0</x:v>
      </x:c>
    </x:row>
    <x:row r="159">
      <x:c r="A159" s="29" t="n">
        <x:v>46080.604166666664</x:v>
      </x:c>
      <x:c r="B159" s="30" t="n">
        <x:v>181.25</x:v>
      </x:c>
      <x:c r="C159" s="30" t="n">
        <x:v>182.58999633789062</x:v>
      </x:c>
      <x:c r="D159" s="30" t="n">
        <x:v>176.3800048828125</x:v>
      </x:c>
      <x:c r="E159" s="30" t="n">
        <x:v>177.19000244140625</x:v>
      </x:c>
      <x:c r="F159" s="30" t="n">
        <x:v>176.97415161132812</x:v>
      </x:c>
      <x:c r="G159" s="31" t="n">
        <x:v>311636500</x:v>
      </x:c>
      <x:c r="H159" s="32" t="n">
        <x:f>F159/F158-1</x:f>
        <x:v>-0.041646346652961186</x:v>
      </x:c>
      <x:c r="I159" s="35" t="n">
        <x:f>AVERAGE(F140:F159)</x:f>
        <x:v>185.7559371948242</x:v>
      </x:c>
      <x:c r="J159" s="35" t="n">
        <x:f>AVERAGE(F110:F159)</x:f>
        <x:v>185.3948776245117</x:v>
      </x:c>
      <x:c r="K159" s="33" t="n">
        <x:f>IF(COUNT(I159:J159)=2,IF(I159&gt;J159,1,0),0)</x:f>
        <x:v>1</x:v>
      </x:c>
      <x:c r="L159" s="33" t="n">
        <x:f>K158</x:f>
        <x:v>1</x:v>
      </x:c>
      <x:c r="M159" s="36" t="n">
        <x:f>L159*H159-IF(L159&lt;&gt;L158,'Assumptions'!$B$7+'Assumptions'!$B$8,0)</x:f>
        <x:v>-0.041646346652961186</x:v>
      </x:c>
      <x:c r="N159" s="37" t="n">
        <x:f>N158*(1+M159)</x:f>
        <x:v>0.9134250610142046</x:v>
      </x:c>
      <x:c r="O159" s="36" t="n">
        <x:f>H159</x:f>
        <x:v>-0.041646346652961186</x:v>
      </x:c>
      <x:c r="P159" s="37" t="n">
        <x:f>P158*(1+O159)</x:f>
        <x:v>1.0370981521403975</x:v>
      </x:c>
      <x:c r="Q159" s="34" t="n">
        <x:f>MAX(Q158,N159)</x:f>
        <x:v>1.102391214096513</x:v>
      </x:c>
      <x:c r="R159" s="38" t="n">
        <x:f>N159/Q159-1</x:f>
        <x:v>-0.17141478511979935</x:v>
      </x:c>
      <x:c r="S159" s="39" t="n">
        <x:f>MAX(S158,P159)</x:f>
        <x:v>1.2117435874944003</x:v>
      </x:c>
      <x:c r="T159" s="38" t="n">
        <x:f>P159/S159-1</x:f>
        <x:v>-0.14412738565848604</x:v>
      </x:c>
      <x:c r="U159" s="33" t="n">
        <x:f>IF(AND(L159=1,L158=0),1,0)</x:f>
        <x:v>0</x:v>
      </x:c>
      <x:c r="V159" s="33" t="n">
        <x:f>IF(AND(L159=0,L158=1),1,0)</x:f>
        <x:v>0</x:v>
      </x:c>
      <x:c r="W159" s="33" t="n">
        <x:f>IF(L159=K158,0,1)</x:f>
        <x:v>0</x:v>
      </x:c>
    </x:row>
    <x:row r="160">
      <x:c r="A160" s="29" t="n">
        <x:v>46083.604166666664</x:v>
      </x:c>
      <x:c r="B160" s="30" t="n">
        <x:v>175.00999450683594</x:v>
      </x:c>
      <x:c r="C160" s="30" t="n">
        <x:v>183.4600067138672</x:v>
      </x:c>
      <x:c r="D160" s="30" t="n">
        <x:v>174.63999938964844</x:v>
      </x:c>
      <x:c r="E160" s="30" t="n">
        <x:v>182.47999572753906</x:v>
      </x:c>
      <x:c r="F160" s="30" t="n">
        <x:v>182.25770568847656</x:v>
      </x:c>
      <x:c r="G160" s="31" t="n">
        <x:v>209095300</x:v>
      </x:c>
      <x:c r="H160" s="32" t="n">
        <x:f>F160/F159-1</x:f>
        <x:v>0.029854947906472917</x:v>
      </x:c>
      <x:c r="I160" s="35" t="n">
        <x:f>AVERAGE(F141:F160)</x:f>
        <x:v>185.32396392822267</x:v>
      </x:c>
      <x:c r="J160" s="35" t="n">
        <x:f>AVERAGE(F111:F160)</x:f>
        <x:v>185.48996154785155</x:v>
      </x:c>
      <x:c r="K160" s="33" t="n">
        <x:f>IF(COUNT(I160:J160)=2,IF(I160&gt;J160,1,0),0)</x:f>
        <x:v>0</x:v>
      </x:c>
      <x:c r="L160" s="33" t="n">
        <x:f>K159</x:f>
        <x:v>1</x:v>
      </x:c>
      <x:c r="M160" s="36" t="n">
        <x:f>L160*H160-IF(L160&lt;&gt;L159,'Assumptions'!$B$7+'Assumptions'!$B$8,0)</x:f>
        <x:v>0.029854947906472917</x:v>
      </x:c>
      <x:c r="N160" s="37" t="n">
        <x:f>N159*(1+M160)</x:f>
        <x:v>0.9406953186272505</x:v>
      </x:c>
      <x:c r="O160" s="36" t="n">
        <x:f>H160</x:f>
        <x:v>0.029854947906472917</x:v>
      </x:c>
      <x:c r="P160" s="37" t="n">
        <x:f>P159*(1+O160)</x:f>
        <x:v>1.0680606634464485</x:v>
      </x:c>
      <x:c r="Q160" s="34" t="n">
        <x:f>MAX(Q159,N160)</x:f>
        <x:v>1.102391214096513</x:v>
      </x:c>
      <x:c r="R160" s="38" t="n">
        <x:f>N160/Q160-1</x:f>
        <x:v>-0.14667741669347722</x:v>
      </x:c>
      <x:c r="S160" s="39" t="n">
        <x:f>MAX(S159,P160)</x:f>
        <x:v>1.2117435874944003</x:v>
      </x:c>
      <x:c r="T160" s="38" t="n">
        <x:f>P160/S160-1</x:f>
        <x:v>-0.11857535334274327</x:v>
      </x:c>
      <x:c r="U160" s="33" t="n">
        <x:f>IF(AND(L160=1,L159=0),1,0)</x:f>
        <x:v>0</x:v>
      </x:c>
      <x:c r="V160" s="33" t="n">
        <x:f>IF(AND(L160=0,L159=1),1,0)</x:f>
        <x:v>0</x:v>
      </x:c>
      <x:c r="W160" s="33" t="n">
        <x:f>IF(L160=K159,0,1)</x:f>
        <x:v>0</x:v>
      </x:c>
    </x:row>
    <x:row r="161">
      <x:c r="A161" s="29" t="n">
        <x:v>46084.604166666664</x:v>
      </x:c>
      <x:c r="B161" s="30" t="n">
        <x:v>178.49000549316406</x:v>
      </x:c>
      <x:c r="C161" s="30" t="n">
        <x:v>180.89999389648438</x:v>
      </x:c>
      <x:c r="D161" s="30" t="n">
        <x:v>176.9199981689453</x:v>
      </x:c>
      <x:c r="E161" s="30" t="n">
        <x:v>180.0500030517578</x:v>
      </x:c>
      <x:c r="F161" s="30" t="n">
        <x:v>179.83065795898438</x:v>
      </x:c>
      <x:c r="G161" s="31" t="n">
        <x:v>178099400</x:v>
      </x:c>
      <x:c r="H161" s="32" t="n">
        <x:f>F161/F160-1</x:f>
        <x:v>-0.013316571281988043</x:v>
      </x:c>
      <x:c r="I161" s="35" t="n">
        <x:f>AVERAGE(F142:F161)</x:f>
        <x:v>185.0463020324707</x:v>
      </x:c>
      <x:c r="J161" s="35" t="n">
        <x:f>AVERAGE(F112:F161)</x:f>
        <x:v>185.67193939208985</x:v>
      </x:c>
      <x:c r="K161" s="33" t="n">
        <x:f>IF(COUNT(I161:J161)=2,IF(I161&gt;J161,1,0),0)</x:f>
        <x:v>0</x:v>
      </x:c>
      <x:c r="L161" s="33" t="n">
        <x:f>K160</x:f>
        <x:v>0</x:v>
      </x:c>
      <x:c r="M161" s="36" t="n">
        <x:f>L161*H161-IF(L161&lt;&gt;L160,'Assumptions'!$B$7+'Assumptions'!$B$8,0)</x:f>
        <x:v>-0.001</x:v>
      </x:c>
      <x:c r="N161" s="37" t="n">
        <x:f>N160*(1+M161)</x:f>
        <x:v>0.9397546233086232</x:v>
      </x:c>
      <x:c r="O161" s="36" t="n">
        <x:f>H161</x:f>
        <x:v>-0.013316571281988043</x:v>
      </x:c>
      <x:c r="P161" s="37" t="n">
        <x:f>P160*(1+O161)</x:f>
        <x:v>1.0538377574881763</x:v>
      </x:c>
      <x:c r="Q161" s="34" t="n">
        <x:f>MAX(Q160,N161)</x:f>
        <x:v>1.102391214096513</x:v>
      </x:c>
      <x:c r="R161" s="38" t="n">
        <x:f>N161/Q161-1</x:f>
        <x:v>-0.14753073927678384</x:v>
      </x:c>
      <x:c r="S161" s="39" t="n">
        <x:f>MAX(S160,P161)</x:f>
        <x:v>1.2117435874944003</x:v>
      </x:c>
      <x:c r="T161" s="38" t="n">
        <x:f>P161/S161-1</x:f>
        <x:v>-0.13031290747965574</x:v>
      </x:c>
      <x:c r="U161" s="33" t="n">
        <x:f>IF(AND(L161=1,L160=0),1,0)</x:f>
        <x:v>0</x:v>
      </x:c>
      <x:c r="V161" s="33" t="n">
        <x:f>IF(AND(L161=0,L160=1),1,0)</x:f>
        <x:v>1</x:v>
      </x:c>
      <x:c r="W161" s="33" t="n">
        <x:f>IF(L161=K160,0,1)</x:f>
        <x:v>0</x:v>
      </x:c>
    </x:row>
    <x:row r="162">
      <x:c r="A162" s="29" t="n">
        <x:v>46085.604166666664</x:v>
      </x:c>
      <x:c r="B162" s="30" t="n">
        <x:v>180.44000244140625</x:v>
      </x:c>
      <x:c r="C162" s="30" t="n">
        <x:v>184.6999969482422</x:v>
      </x:c>
      <x:c r="D162" s="30" t="n">
        <x:v>180.05999755859375</x:v>
      </x:c>
      <x:c r="E162" s="30" t="n">
        <x:v>183.0399932861328</x:v>
      </x:c>
      <x:c r="F162" s="30" t="n">
        <x:v>182.8170166015625</x:v>
      </x:c>
      <x:c r="G162" s="31" t="n">
        <x:v>177731200</x:v>
      </x:c>
      <x:c r="H162" s="32" t="n">
        <x:f>F162/F161-1</x:f>
        <x:v>0.016606504566419655</x:v>
      </x:c>
      <x:c r="I162" s="35" t="n">
        <x:f>AVERAGE(F143:F162)</x:f>
        <x:v>185.1811378479004</x:v>
      </x:c>
      <x:c r="J162" s="35" t="n">
        <x:f>AVERAGE(F113:F162)</x:f>
        <x:v>185.84972259521484</x:v>
      </x:c>
      <x:c r="K162" s="33" t="n">
        <x:f>IF(COUNT(I162:J162)=2,IF(I162&gt;J162,1,0),0)</x:f>
        <x:v>0</x:v>
      </x:c>
      <x:c r="L162" s="33" t="n">
        <x:f>K161</x:f>
        <x:v>0</x:v>
      </x:c>
      <x:c r="M162" s="36" t="n">
        <x:f>L162*H162-IF(L162&lt;&gt;L161,'Assumptions'!$B$7+'Assumptions'!$B$8,0)</x:f>
        <x:v>0</x:v>
      </x:c>
      <x:c r="N162" s="37" t="n">
        <x:f>N161*(1+M162)</x:f>
        <x:v>0.9397546233086232</x:v>
      </x:c>
      <x:c r="O162" s="36" t="n">
        <x:f>H162</x:f>
        <x:v>0.016606504566419655</x:v>
      </x:c>
      <x:c r="P162" s="37" t="n">
        <x:f>P161*(1+O162)</x:f>
        <x:v>1.071338319020169</x:v>
      </x:c>
      <x:c r="Q162" s="34" t="n">
        <x:f>MAX(Q161,N162)</x:f>
        <x:v>1.102391214096513</x:v>
      </x:c>
      <x:c r="R162" s="38" t="n">
        <x:f>N162/Q162-1</x:f>
        <x:v>-0.14753073927678384</x:v>
      </x:c>
      <x:c r="S162" s="39" t="n">
        <x:f>MAX(S161,P162)</x:f>
        <x:v>1.2117435874944003</x:v>
      </x:c>
      <x:c r="T162" s="38" t="n">
        <x:f>P162/S162-1</x:f>
        <x:v>-0.11587044480636055</x:v>
      </x:c>
      <x:c r="U162" s="33" t="n">
        <x:f>IF(AND(L162=1,L161=0),1,0)</x:f>
        <x:v>0</x:v>
      </x:c>
      <x:c r="V162" s="33" t="n">
        <x:f>IF(AND(L162=0,L161=1),1,0)</x:f>
        <x:v>0</x:v>
      </x:c>
      <x:c r="W162" s="33" t="n">
        <x:f>IF(L162=K161,0,1)</x:f>
        <x:v>0</x:v>
      </x:c>
    </x:row>
    <x:row r="163">
      <x:c r="A163" s="29" t="n">
        <x:v>46086.604166666664</x:v>
      </x:c>
      <x:c r="B163" s="30" t="n">
        <x:v>181.1699981689453</x:v>
      </x:c>
      <x:c r="C163" s="30" t="n">
        <x:v>184.05999755859375</x:v>
      </x:c>
      <x:c r="D163" s="30" t="n">
        <x:v>177.8800048828125</x:v>
      </x:c>
      <x:c r="E163" s="30" t="n">
        <x:v>183.33999633789062</x:v>
      </x:c>
      <x:c r="F163" s="30" t="n">
        <x:v>183.1166534423828</x:v>
      </x:c>
      <x:c r="G163" s="31" t="n">
        <x:v>198779700</x:v>
      </x:c>
      <x:c r="H163" s="32" t="n">
        <x:f>F163/F162-1</x:f>
        <x:v>0.00163899863585093</x:v>
      </x:c>
      <x:c r="I163" s="35" t="n">
        <x:f>AVERAGE(F144:F163)</x:f>
        <x:v>185.63808059692383</x:v>
      </x:c>
      <x:c r="J163" s="35" t="n">
        <x:f>AVERAGE(F114:F163)</x:f>
        <x:v>185.89666534423827</x:v>
      </x:c>
      <x:c r="K163" s="33" t="n">
        <x:f>IF(COUNT(I163:J163)=2,IF(I163&gt;J163,1,0),0)</x:f>
        <x:v>0</x:v>
      </x:c>
      <x:c r="L163" s="33" t="n">
        <x:f>K162</x:f>
        <x:v>0</x:v>
      </x:c>
      <x:c r="M163" s="36" t="n">
        <x:f>L163*H163-IF(L163&lt;&gt;L162,'Assumptions'!$B$7+'Assumptions'!$B$8,0)</x:f>
        <x:v>0</x:v>
      </x:c>
      <x:c r="N163" s="37" t="n">
        <x:f>N162*(1+M163)</x:f>
        <x:v>0.9397546233086232</x:v>
      </x:c>
      <x:c r="O163" s="36" t="n">
        <x:f>H163</x:f>
        <x:v>0.00163899863585093</x:v>
      </x:c>
      <x:c r="P163" s="37" t="n">
        <x:f>P162*(1+O163)</x:f>
        <x:v>1.073094241063578</x:v>
      </x:c>
      <x:c r="Q163" s="34" t="n">
        <x:f>MAX(Q162,N163)</x:f>
        <x:v>1.102391214096513</x:v>
      </x:c>
      <x:c r="R163" s="38" t="n">
        <x:f>N163/Q163-1</x:f>
        <x:v>-0.14753073927678384</x:v>
      </x:c>
      <x:c r="S163" s="39" t="n">
        <x:f>MAX(S162,P163)</x:f>
        <x:v>1.2117435874944003</x:v>
      </x:c>
      <x:c r="T163" s="38" t="n">
        <x:f>P163/S163-1</x:f>
        <x:v>-0.11442135767148265</x:v>
      </x:c>
      <x:c r="U163" s="33" t="n">
        <x:f>IF(AND(L163=1,L162=0),1,0)</x:f>
        <x:v>0</x:v>
      </x:c>
      <x:c r="V163" s="33" t="n">
        <x:f>IF(AND(L163=0,L162=1),1,0)</x:f>
        <x:v>0</x:v>
      </x:c>
      <x:c r="W163" s="33" t="n">
        <x:f>IF(L163=K162,0,1)</x:f>
        <x:v>0</x:v>
      </x:c>
    </x:row>
    <x:row r="164">
      <x:c r="A164" s="29" t="n">
        <x:v>46087.604166666664</x:v>
      </x:c>
      <x:c r="B164" s="30" t="n">
        <x:v>179.83999633789062</x:v>
      </x:c>
      <x:c r="C164" s="30" t="n">
        <x:v>182.75999450683594</x:v>
      </x:c>
      <x:c r="D164" s="30" t="n">
        <x:v>176.82000732421875</x:v>
      </x:c>
      <x:c r="E164" s="30" t="n">
        <x:v>177.82000732421875</x:v>
      </x:c>
      <x:c r="F164" s="30" t="n">
        <x:v>177.60337829589844</x:v>
      </x:c>
      <x:c r="G164" s="31" t="n">
        <x:v>189021900</x:v>
      </x:c>
      <x:c r="H164" s="32" t="n">
        <x:f>F164/F163-1</x:f>
        <x:v>-0.03010799423668542</x:v>
      </x:c>
      <x:c r="I164" s="35" t="n">
        <x:f>AVERAGE(F145:F164)</x:f>
        <x:v>185.93471908569336</x:v>
      </x:c>
      <x:c r="J164" s="35" t="n">
        <x:f>AVERAGE(F115:F164)</x:f>
        <x:v>185.77940826416017</x:v>
      </x:c>
      <x:c r="K164" s="33" t="n">
        <x:f>IF(COUNT(I164:J164)=2,IF(I164&gt;J164,1,0),0)</x:f>
        <x:v>1</x:v>
      </x:c>
      <x:c r="L164" s="33" t="n">
        <x:f>K163</x:f>
        <x:v>0</x:v>
      </x:c>
      <x:c r="M164" s="36" t="n">
        <x:f>L164*H164-IF(L164&lt;&gt;L163,'Assumptions'!$B$7+'Assumptions'!$B$8,0)</x:f>
        <x:v>0</x:v>
      </x:c>
      <x:c r="N164" s="37" t="n">
        <x:f>N163*(1+M164)</x:f>
        <x:v>0.9397546233086232</x:v>
      </x:c>
      <x:c r="O164" s="36" t="n">
        <x:f>H164</x:f>
        <x:v>-0.03010799423668542</x:v>
      </x:c>
      <x:c r="P164" s="37" t="n">
        <x:f>P163*(1+O164)</x:f>
        <x:v>1.0407855258382155</x:v>
      </x:c>
      <x:c r="Q164" s="34" t="n">
        <x:f>MAX(Q163,N164)</x:f>
        <x:v>1.102391214096513</x:v>
      </x:c>
      <x:c r="R164" s="38" t="n">
        <x:f>N164/Q164-1</x:f>
        <x:v>-0.14753073927678384</x:v>
      </x:c>
      <x:c r="S164" s="39" t="n">
        <x:f>MAX(S163,P164)</x:f>
        <x:v>1.2117435874944003</x:v>
      </x:c>
      <x:c r="T164" s="38" t="n">
        <x:f>P164/S164-1</x:f>
        <x:v>-0.14108435433084132</x:v>
      </x:c>
      <x:c r="U164" s="33" t="n">
        <x:f>IF(AND(L164=1,L163=0),1,0)</x:f>
        <x:v>0</x:v>
      </x:c>
      <x:c r="V164" s="33" t="n">
        <x:f>IF(AND(L164=0,L163=1),1,0)</x:f>
        <x:v>0</x:v>
      </x:c>
      <x:c r="W164" s="33" t="n">
        <x:f>IF(L164=K163,0,1)</x:f>
        <x:v>0</x:v>
      </x:c>
    </x:row>
    <x:row r="165">
      <x:c r="A165" s="29" t="n">
        <x:v>46090.5625</x:v>
      </x:c>
      <x:c r="B165" s="30" t="n">
        <x:v>176.8300018310547</x:v>
      </x:c>
      <x:c r="C165" s="30" t="n">
        <x:v>182.91000366210938</x:v>
      </x:c>
      <x:c r="D165" s="30" t="n">
        <x:v>175.55999755859375</x:v>
      </x:c>
      <x:c r="E165" s="30" t="n">
        <x:v>182.64999389648438</x:v>
      </x:c>
      <x:c r="F165" s="30" t="n">
        <x:v>182.427490234375</x:v>
      </x:c>
      <x:c r="G165" s="31" t="n">
        <x:v>177213600</x:v>
      </x:c>
      <x:c r="H165" s="32" t="n">
        <x:f>F165/F164-1</x:f>
        <x:v>0.027162275767295796</x:v>
      </x:c>
      <x:c r="I165" s="35" t="n">
        <x:f>AVERAGE(F146:F165)</x:f>
        <x:v>185.79688720703126</x:v>
      </x:c>
      <x:c r="J165" s="35" t="n">
        <x:f>AVERAGE(F116:F165)</x:f>
        <x:v>185.64836791992187</x:v>
      </x:c>
      <x:c r="K165" s="33" t="n">
        <x:f>IF(COUNT(I165:J165)=2,IF(I165&gt;J165,1,0),0)</x:f>
        <x:v>1</x:v>
      </x:c>
      <x:c r="L165" s="33" t="n">
        <x:f>K164</x:f>
        <x:v>1</x:v>
      </x:c>
      <x:c r="M165" s="36" t="n">
        <x:f>L165*H165-IF(L165&lt;&gt;L164,'Assumptions'!$B$7+'Assumptions'!$B$8,0)</x:f>
        <x:v>0.026162275767295795</x:v>
      </x:c>
      <x:c r="N165" s="37" t="n">
        <x:f>N164*(1+M165)</x:f>
        <x:v>0.9643407429172147</x:v>
      </x:c>
      <x:c r="O165" s="36" t="n">
        <x:f>H165</x:f>
        <x:v>0.027162275767295796</x:v>
      </x:c>
      <x:c r="P165" s="37" t="n">
        <x:f>P164*(1+O165)</x:f>
        <x:v>1.069055629305643</x:v>
      </x:c>
      <x:c r="Q165" s="34" t="n">
        <x:f>MAX(Q164,N165)</x:f>
        <x:v>1.102391214096513</x:v>
      </x:c>
      <x:c r="R165" s="38" t="n">
        <x:f>N165/Q165-1</x:f>
        <x:v>-0.12522820339460017</x:v>
      </x:c>
      <x:c r="S165" s="39" t="n">
        <x:f>MAX(S164,P165)</x:f>
        <x:v>1.2117435874944003</x:v>
      </x:c>
      <x:c r="T165" s="38" t="n">
        <x:f>P165/S165-1</x:f>
        <x:v>-0.1177542507023307</x:v>
      </x:c>
      <x:c r="U165" s="33" t="n">
        <x:f>IF(AND(L165=1,L164=0),1,0)</x:f>
        <x:v>1</x:v>
      </x:c>
      <x:c r="V165" s="33" t="n">
        <x:f>IF(AND(L165=0,L164=1),1,0)</x:f>
        <x:v>0</x:v>
      </x:c>
      <x:c r="W165" s="33" t="n">
        <x:f>IF(L165=K164,0,1)</x:f>
        <x:v>0</x:v>
      </x:c>
    </x:row>
    <x:row r="166">
      <x:c r="A166" s="29" t="n">
        <x:v>46091.5625</x:v>
      </x:c>
      <x:c r="B166" s="30" t="n">
        <x:v>182.39999389648438</x:v>
      </x:c>
      <x:c r="C166" s="30" t="n">
        <x:v>186.44000244140625</x:v>
      </x:c>
      <x:c r="D166" s="30" t="n">
        <x:v>182.00999450683594</x:v>
      </x:c>
      <x:c r="E166" s="30" t="n">
        <x:v>184.77000427246094</x:v>
      </x:c>
      <x:c r="F166" s="30" t="n">
        <x:v>184.544921875</x:v>
      </x:c>
      <x:c r="G166" s="31" t="n">
        <x:v>179118500</x:v>
      </x:c>
      <x:c r="H166" s="32" t="n">
        <x:f>F166/F165-1</x:f>
        <x:v>0.01160697676597211</x:v>
      </x:c>
      <x:c r="I166" s="35" t="n">
        <x:f>AVERAGE(F147:F166)</x:f>
        <x:v>185.53370895385743</x:v>
      </x:c>
      <x:c r="J166" s="35" t="n">
        <x:f>AVERAGE(F117:F166)</x:f>
        <x:v>185.5716616821289</x:v>
      </x:c>
      <x:c r="K166" s="33" t="n">
        <x:f>IF(COUNT(I166:J166)=2,IF(I166&gt;J166,1,0),0)</x:f>
        <x:v>0</x:v>
      </x:c>
      <x:c r="L166" s="33" t="n">
        <x:f>K165</x:f>
        <x:v>1</x:v>
      </x:c>
      <x:c r="M166" s="36" t="n">
        <x:f>L166*H166-IF(L166&lt;&gt;L165,'Assumptions'!$B$7+'Assumptions'!$B$8,0)</x:f>
        <x:v>0.01160697676597211</x:v>
      </x:c>
      <x:c r="N166" s="37" t="n">
        <x:f>N165*(1+M166)</x:f>
        <x:v>0.9755338235147352</x:v>
      </x:c>
      <x:c r="O166" s="36" t="n">
        <x:f>H166</x:f>
        <x:v>0.01160697676597211</x:v>
      </x:c>
      <x:c r="P166" s="37" t="n">
        <x:f>P165*(1+O166)</x:f>
        <x:v>1.0814641331565253</x:v>
      </x:c>
      <x:c r="Q166" s="34" t="n">
        <x:f>MAX(Q165,N166)</x:f>
        <x:v>1.102391214096513</x:v>
      </x:c>
      <x:c r="R166" s="38" t="n">
        <x:f>N166/Q166-1</x:f>
        <x:v>-0.11507474747587354</x:v>
      </x:c>
      <x:c r="S166" s="39" t="n">
        <x:f>MAX(S165,P166)</x:f>
        <x:v>1.2117435874944003</x:v>
      </x:c>
      <x:c r="T166" s="38" t="n">
        <x:f>P166/S166-1</x:f>
        <x:v>-0.10751404478835502</x:v>
      </x:c>
      <x:c r="U166" s="33" t="n">
        <x:f>IF(AND(L166=1,L165=0),1,0)</x:f>
        <x:v>0</x:v>
      </x:c>
      <x:c r="V166" s="33" t="n">
        <x:f>IF(AND(L166=0,L165=1),1,0)</x:f>
        <x:v>0</x:v>
      </x:c>
      <x:c r="W166" s="33" t="n">
        <x:f>IF(L166=K165,0,1)</x:f>
        <x:v>0</x:v>
      </x:c>
    </x:row>
    <x:row r="167">
      <x:c r="A167" s="29" t="n">
        <x:v>46092.5625</x:v>
      </x:c>
      <x:c r="B167" s="30" t="n">
        <x:v>185.91000366210938</x:v>
      </x:c>
      <x:c r="C167" s="30" t="n">
        <x:v>187.6199951171875</x:v>
      </x:c>
      <x:c r="D167" s="30" t="n">
        <x:v>184.4499969482422</x:v>
      </x:c>
      <x:c r="E167" s="30" t="n">
        <x:v>186.02999877929688</x:v>
      </x:c>
      <x:c r="F167" s="30" t="n">
        <x:v>185.8134307861328</x:v>
      </x:c>
      <x:c r="G167" s="31" t="n">
        <x:v>145280400</x:v>
      </x:c>
      <x:c r="H167" s="32" t="n">
        <x:f>F167/F166-1</x:f>
        <x:v>0.006873713447352436</x:v>
      </x:c>
      <x:c r="I167" s="35" t="n">
        <x:f>AVERAGE(F148:F167)</x:f>
        <x:v>185.40886459350585</x:v>
      </x:c>
      <x:c r="J167" s="35" t="n">
        <x:f>AVERAGE(F118:F167)</x:f>
        <x:v>185.4819723510742</x:v>
      </x:c>
      <x:c r="K167" s="33" t="n">
        <x:f>IF(COUNT(I167:J167)=2,IF(I167&gt;J167,1,0),0)</x:f>
        <x:v>0</x:v>
      </x:c>
      <x:c r="L167" s="33" t="n">
        <x:f>K166</x:f>
        <x:v>0</x:v>
      </x:c>
      <x:c r="M167" s="36" t="n">
        <x:f>L167*H167-IF(L167&lt;&gt;L166,'Assumptions'!$B$7+'Assumptions'!$B$8,0)</x:f>
        <x:v>-0.001</x:v>
      </x:c>
      <x:c r="N167" s="37" t="n">
        <x:f>N166*(1+M167)</x:f>
        <x:v>0.9745582896912204</x:v>
      </x:c>
      <x:c r="O167" s="36" t="n">
        <x:f>H167</x:f>
        <x:v>0.006873713447352436</x:v>
      </x:c>
      <x:c r="P167" s="37" t="n">
        <x:f>P166*(1+O167)</x:f>
        <x:v>1.0888978077114326</x:v>
      </x:c>
      <x:c r="Q167" s="34" t="n">
        <x:f>MAX(Q166,N167)</x:f>
        <x:v>1.102391214096513</x:v>
      </x:c>
      <x:c r="R167" s="38" t="n">
        <x:f>N167/Q167-1</x:f>
        <x:v>-0.11595967272839769</x:v>
      </x:c>
      <x:c r="S167" s="39" t="n">
        <x:f>MAX(S166,P167)</x:f>
        <x:v>1.2117435874944003</x:v>
      </x:c>
      <x:c r="T167" s="38" t="n">
        <x:f>P167/S167-1</x:f>
        <x:v>-0.10137935207644355</x:v>
      </x:c>
      <x:c r="U167" s="33" t="n">
        <x:f>IF(AND(L167=1,L166=0),1,0)</x:f>
        <x:v>0</x:v>
      </x:c>
      <x:c r="V167" s="33" t="n">
        <x:f>IF(AND(L167=0,L166=1),1,0)</x:f>
        <x:v>1</x:v>
      </x:c>
      <x:c r="W167" s="33" t="n">
        <x:f>IF(L167=K166,0,1)</x:f>
        <x:v>0</x:v>
      </x:c>
    </x:row>
    <x:row r="168">
      <x:c r="A168" s="29" t="n">
        <x:v>46093.5625</x:v>
      </x:c>
      <x:c r="B168" s="30" t="n">
        <x:v>184.0500030517578</x:v>
      </x:c>
      <x:c r="C168" s="30" t="n">
        <x:v>184.94000244140625</x:v>
      </x:c>
      <x:c r="D168" s="30" t="n">
        <x:v>181.75</x:v>
      </x:c>
      <x:c r="E168" s="30" t="n">
        <x:v>183.13999938964844</x:v>
      </x:c>
      <x:c r="F168" s="30" t="n">
        <x:v>182.9268035888672</x:v>
      </x:c>
      <x:c r="G168" s="31" t="n">
        <x:v>155762700</x:v>
      </x:c>
      <x:c r="H168" s="32" t="n">
        <x:f>F168/F167-1</x:f>
        <x:v>-0.015535083686109119</x:v>
      </x:c>
      <x:c r="I168" s="35" t="n">
        <x:f>AVERAGE(F149:F168)</x:f>
        <x:v>185.06428070068358</x:v>
      </x:c>
      <x:c r="J168" s="35" t="n">
        <x:f>AVERAGE(F119:F168)</x:f>
        <x:v>185.38069427490234</x:v>
      </x:c>
      <x:c r="K168" s="33" t="n">
        <x:f>IF(COUNT(I168:J168)=2,IF(I168&gt;J168,1,0),0)</x:f>
        <x:v>0</x:v>
      </x:c>
      <x:c r="L168" s="33" t="n">
        <x:f>K167</x:f>
        <x:v>0</x:v>
      </x:c>
      <x:c r="M168" s="36" t="n">
        <x:f>L168*H168-IF(L168&lt;&gt;L167,'Assumptions'!$B$7+'Assumptions'!$B$8,0)</x:f>
        <x:v>0</x:v>
      </x:c>
      <x:c r="N168" s="37" t="n">
        <x:f>N167*(1+M168)</x:f>
        <x:v>0.9745582896912204</x:v>
      </x:c>
      <x:c r="O168" s="36" t="n">
        <x:f>H168</x:f>
        <x:v>-0.015535083686109119</x:v>
      </x:c>
      <x:c r="P168" s="37" t="n">
        <x:f>P167*(1+O168)</x:f>
        <x:v>1.0719816891430147</x:v>
      </x:c>
      <x:c r="Q168" s="34" t="n">
        <x:f>MAX(Q167,N168)</x:f>
        <x:v>1.102391214096513</x:v>
      </x:c>
      <x:c r="R168" s="38" t="n">
        <x:f>N168/Q168-1</x:f>
        <x:v>-0.11595967272839769</x:v>
      </x:c>
      <x:c r="S168" s="39" t="n">
        <x:f>MAX(S167,P168)</x:f>
        <x:v>1.2117435874944003</x:v>
      </x:c>
      <x:c r="T168" s="38" t="n">
        <x:f>P168/S168-1</x:f>
        <x:v>-0.11533949904400165</x:v>
      </x:c>
      <x:c r="U168" s="33" t="n">
        <x:f>IF(AND(L168=1,L167=0),1,0)</x:f>
        <x:v>0</x:v>
      </x:c>
      <x:c r="V168" s="33" t="n">
        <x:f>IF(AND(L168=0,L167=1),1,0)</x:f>
        <x:v>0</x:v>
      </x:c>
      <x:c r="W168" s="33" t="n">
        <x:f>IF(L168=K167,0,1)</x:f>
        <x:v>0</x:v>
      </x:c>
    </x:row>
    <x:row r="169">
      <x:c r="A169" s="29" t="n">
        <x:v>46094.5625</x:v>
      </x:c>
      <x:c r="B169" s="30" t="n">
        <x:v>184.9199981689453</x:v>
      </x:c>
      <x:c r="C169" s="30" t="n">
        <x:v>186.08999633789062</x:v>
      </x:c>
      <x:c r="D169" s="30" t="n">
        <x:v>179.94000244140625</x:v>
      </x:c>
      <x:c r="E169" s="30" t="n">
        <x:v>180.25</x:v>
      </x:c>
      <x:c r="F169" s="30" t="n">
        <x:v>180.0401611328125</x:v>
      </x:c>
      <x:c r="G169" s="31" t="n">
        <x:v>160988400</x:v>
      </x:c>
      <x:c r="H169" s="32" t="n">
        <x:f>F169/F168-1</x:f>
        <x:v>-0.015780314308353027</x:v>
      </x:c>
      <x:c r="I169" s="35" t="n">
        <x:f>AVERAGE(F150:F169)</x:f>
        <x:v>184.73067474365234</x:v>
      </x:c>
      <x:c r="J169" s="35" t="n">
        <x:f>AVERAGE(F120:F169)</x:f>
        <x:v>185.2352667236328</x:v>
      </x:c>
      <x:c r="K169" s="33" t="n">
        <x:f>IF(COUNT(I169:J169)=2,IF(I169&gt;J169,1,0),0)</x:f>
        <x:v>0</x:v>
      </x:c>
      <x:c r="L169" s="33" t="n">
        <x:f>K168</x:f>
        <x:v>0</x:v>
      </x:c>
      <x:c r="M169" s="36" t="n">
        <x:f>L169*H169-IF(L169&lt;&gt;L168,'Assumptions'!$B$7+'Assumptions'!$B$8,0)</x:f>
        <x:v>0</x:v>
      </x:c>
      <x:c r="N169" s="37" t="n">
        <x:f>N168*(1+M169)</x:f>
        <x:v>0.9745582896912204</x:v>
      </x:c>
      <x:c r="O169" s="36" t="n">
        <x:f>H169</x:f>
        <x:v>-0.015780314308353027</x:v>
      </x:c>
      <x:c r="P169" s="37" t="n">
        <x:f>P168*(1+O169)</x:f>
        <x:v>1.0550654811555387</x:v>
      </x:c>
      <x:c r="Q169" s="34" t="n">
        <x:f>MAX(Q168,N169)</x:f>
        <x:v>1.102391214096513</x:v>
      </x:c>
      <x:c r="R169" s="38" t="n">
        <x:f>N169/Q169-1</x:f>
        <x:v>-0.11595967272839769</x:v>
      </x:c>
      <x:c r="S169" s="39" t="n">
        <x:f>MAX(S168,P169)</x:f>
        <x:v>1.2117435874944003</x:v>
      </x:c>
      <x:c r="T169" s="38" t="n">
        <x:f>P169/S169-1</x:f>
        <x:v>-0.12929971980527244</x:v>
      </x:c>
      <x:c r="U169" s="33" t="n">
        <x:f>IF(AND(L169=1,L168=0),1,0)</x:f>
        <x:v>0</x:v>
      </x:c>
      <x:c r="V169" s="33" t="n">
        <x:f>IF(AND(L169=0,L168=1),1,0)</x:f>
        <x:v>0</x:v>
      </x:c>
      <x:c r="W169" s="33" t="n">
        <x:f>IF(L169=K168,0,1)</x:f>
        <x:v>0</x:v>
      </x:c>
    </x:row>
    <x:row r="170">
      <x:c r="A170" s="29" t="n">
        <x:v>46097.5625</x:v>
      </x:c>
      <x:c r="B170" s="30" t="n">
        <x:v>182.97000122070312</x:v>
      </x:c>
      <x:c r="C170" s="30" t="n">
        <x:v>188.8800048828125</x:v>
      </x:c>
      <x:c r="D170" s="30" t="n">
        <x:v>181.41000366210938</x:v>
      </x:c>
      <x:c r="E170" s="30" t="n">
        <x:v>183.22000122070312</x:v>
      </x:c>
      <x:c r="F170" s="30" t="n">
        <x:v>183.0067138671875</x:v>
      </x:c>
      <x:c r="G170" s="31" t="n">
        <x:v>217307400</x:v>
      </x:c>
      <x:c r="H170" s="32" t="n">
        <x:f>F170/F169-1</x:f>
        <x:v>0.01647717218041489</x:v>
      </x:c>
      <x:c r="I170" s="35" t="n">
        <x:f>AVERAGE(F151:F170)</x:f>
        <x:v>184.75164489746095</x:v>
      </x:c>
      <x:c r="J170" s="35" t="n">
        <x:f>AVERAGE(F121:F170)</x:f>
        <x:v>185.1699447631836</x:v>
      </x:c>
      <x:c r="K170" s="33" t="n">
        <x:f>IF(COUNT(I170:J170)=2,IF(I170&gt;J170,1,0),0)</x:f>
        <x:v>0</x:v>
      </x:c>
      <x:c r="L170" s="33" t="n">
        <x:f>K169</x:f>
        <x:v>0</x:v>
      </x:c>
      <x:c r="M170" s="36" t="n">
        <x:f>L170*H170-IF(L170&lt;&gt;L169,'Assumptions'!$B$7+'Assumptions'!$B$8,0)</x:f>
        <x:v>0</x:v>
      </x:c>
      <x:c r="N170" s="37" t="n">
        <x:f>N169*(1+M170)</x:f>
        <x:v>0.9745582896912204</x:v>
      </x:c>
      <x:c r="O170" s="36" t="n">
        <x:f>H170</x:f>
        <x:v>0.01647717218041489</x:v>
      </x:c>
      <x:c r="P170" s="37" t="n">
        <x:f>P169*(1+O170)</x:f>
        <x:v>1.0724499767501507</x:v>
      </x:c>
      <x:c r="Q170" s="34" t="n">
        <x:f>MAX(Q169,N170)</x:f>
        <x:v>1.102391214096513</x:v>
      </x:c>
      <x:c r="R170" s="38" t="n">
        <x:f>N170/Q170-1</x:f>
        <x:v>-0.11595967272839769</x:v>
      </x:c>
      <x:c r="S170" s="39" t="n">
        <x:f>MAX(S169,P170)</x:f>
        <x:v>1.2117435874944003</x:v>
      </x:c>
      <x:c r="T170" s="38" t="n">
        <x:f>P170/S170-1</x:f>
        <x:v>-0.1149530413709684</x:v>
      </x:c>
      <x:c r="U170" s="33" t="n">
        <x:f>IF(AND(L170=1,L169=0),1,0)</x:f>
        <x:v>0</x:v>
      </x:c>
      <x:c r="V170" s="33" t="n">
        <x:f>IF(AND(L170=0,L169=1),1,0)</x:f>
        <x:v>0</x:v>
      </x:c>
      <x:c r="W170" s="33" t="n">
        <x:f>IF(L170=K169,0,1)</x:f>
        <x:v>0</x:v>
      </x:c>
    </x:row>
    <x:row r="171">
      <x:c r="A171" s="29" t="n">
        <x:v>46098.5625</x:v>
      </x:c>
      <x:c r="B171" s="30" t="n">
        <x:v>185.05999755859375</x:v>
      </x:c>
      <x:c r="C171" s="30" t="n">
        <x:v>185.39999389648438</x:v>
      </x:c>
      <x:c r="D171" s="30" t="n">
        <x:v>181.67999267578125</x:v>
      </x:c>
      <x:c r="E171" s="30" t="n">
        <x:v>181.92999267578125</x:v>
      </x:c>
      <x:c r="F171" s="30" t="n">
        <x:v>181.71820068359375</x:v>
      </x:c>
      <x:c r="G171" s="31" t="n">
        <x:v>182497800</x:v>
      </x:c>
      <x:c r="H171" s="32" t="n">
        <x:f>F171/F170-1</x:f>
        <x:v>-0.007040797336696936</x:v>
      </x:c>
      <x:c r="I171" s="35" t="n">
        <x:f>AVERAGE(F152:F171)</x:f>
        <x:v>184.60032119750977</x:v>
      </x:c>
      <x:c r="J171" s="35" t="n">
        <x:f>AVERAGE(F122:F171)</x:f>
        <x:v>185.03190979003907</x:v>
      </x:c>
      <x:c r="K171" s="33" t="n">
        <x:f>IF(COUNT(I171:J171)=2,IF(I171&gt;J171,1,0),0)</x:f>
        <x:v>0</x:v>
      </x:c>
      <x:c r="L171" s="33" t="n">
        <x:f>K170</x:f>
        <x:v>0</x:v>
      </x:c>
      <x:c r="M171" s="36" t="n">
        <x:f>L171*H171-IF(L171&lt;&gt;L170,'Assumptions'!$B$7+'Assumptions'!$B$8,0)</x:f>
        <x:v>0</x:v>
      </x:c>
      <x:c r="N171" s="37" t="n">
        <x:f>N170*(1+M171)</x:f>
        <x:v>0.9745582896912204</x:v>
      </x:c>
      <x:c r="O171" s="36" t="n">
        <x:f>H171</x:f>
        <x:v>-0.007040797336696936</x:v>
      </x:c>
      <x:c r="P171" s="37" t="n">
        <x:f>P170*(1+O171)</x:f>
        <x:v>1.0648990738101076</x:v>
      </x:c>
      <x:c r="Q171" s="34" t="n">
        <x:f>MAX(Q170,N171)</x:f>
        <x:v>1.102391214096513</x:v>
      </x:c>
      <x:c r="R171" s="38" t="n">
        <x:f>N171/Q171-1</x:f>
        <x:v>-0.11595967272839769</x:v>
      </x:c>
      <x:c r="S171" s="39" t="n">
        <x:f>MAX(S170,P171)</x:f>
        <x:v>1.2117435874944003</x:v>
      </x:c>
      <x:c r="T171" s="38" t="n">
        <x:f>P171/S171-1</x:f>
        <x:v>-0.1211844776401354</x:v>
      </x:c>
      <x:c r="U171" s="33" t="n">
        <x:f>IF(AND(L171=1,L170=0),1,0)</x:f>
        <x:v>0</x:v>
      </x:c>
      <x:c r="V171" s="33" t="n">
        <x:f>IF(AND(L171=0,L170=1),1,0)</x:f>
        <x:v>0</x:v>
      </x:c>
      <x:c r="W171" s="33" t="n">
        <x:f>IF(L171=K170,0,1)</x:f>
        <x:v>0</x:v>
      </x:c>
    </x:row>
    <x:row r="172">
      <x:c r="A172" s="29" t="n">
        <x:v>46099.5625</x:v>
      </x:c>
      <x:c r="B172" s="30" t="n">
        <x:v>182.47999572753906</x:v>
      </x:c>
      <x:c r="C172" s="30" t="n">
        <x:v>183.3800048828125</x:v>
      </x:c>
      <x:c r="D172" s="30" t="n">
        <x:v>180.3300018310547</x:v>
      </x:c>
      <x:c r="E172" s="30" t="n">
        <x:v>180.39999389648438</x:v>
      </x:c>
      <x:c r="F172" s="30" t="n">
        <x:v>180.1899871826172</x:v>
      </x:c>
      <x:c r="G172" s="31" t="n">
        <x:v>156683100</x:v>
      </x:c>
      <x:c r="H172" s="32" t="n">
        <x:f>F172/F171-1</x:f>
        <x:v>-0.008409798772097021</x:v>
      </x:c>
      <x:c r="I172" s="35" t="n">
        <x:f>AVERAGE(F153:F172)</x:f>
        <x:v>184.22227096557617</x:v>
      </x:c>
      <x:c r="J172" s="35" t="n">
        <x:f>AVERAGE(F123:F172)</x:f>
        <x:v>184.87789276123047</x:v>
      </x:c>
      <x:c r="K172" s="33" t="n">
        <x:f>IF(COUNT(I172:J172)=2,IF(I172&gt;J172,1,0),0)</x:f>
        <x:v>0</x:v>
      </x:c>
      <x:c r="L172" s="33" t="n">
        <x:f>K171</x:f>
        <x:v>0</x:v>
      </x:c>
      <x:c r="M172" s="36" t="n">
        <x:f>L172*H172-IF(L172&lt;&gt;L171,'Assumptions'!$B$7+'Assumptions'!$B$8,0)</x:f>
        <x:v>0</x:v>
      </x:c>
      <x:c r="N172" s="37" t="n">
        <x:f>N171*(1+M172)</x:f>
        <x:v>0.9745582896912204</x:v>
      </x:c>
      <x:c r="O172" s="36" t="n">
        <x:f>H172</x:f>
        <x:v>-0.008409798772097021</x:v>
      </x:c>
      <x:c r="P172" s="37" t="n">
        <x:f>P171*(1+O172)</x:f>
        <x:v>1.055943486886772</x:v>
      </x:c>
      <x:c r="Q172" s="34" t="n">
        <x:f>MAX(Q171,N172)</x:f>
        <x:v>1.102391214096513</x:v>
      </x:c>
      <x:c r="R172" s="38" t="n">
        <x:f>N172/Q172-1</x:f>
        <x:v>-0.11595967272839769</x:v>
      </x:c>
      <x:c r="S172" s="39" t="n">
        <x:f>MAX(S171,P172)</x:f>
        <x:v>1.2117435874944003</x:v>
      </x:c>
      <x:c r="T172" s="38" t="n">
        <x:f>P172/S172-1</x:f>
        <x:v>-0.1285751393409772</x:v>
      </x:c>
      <x:c r="U172" s="33" t="n">
        <x:f>IF(AND(L172=1,L171=0),1,0)</x:f>
        <x:v>0</x:v>
      </x:c>
      <x:c r="V172" s="33" t="n">
        <x:f>IF(AND(L172=0,L171=1),1,0)</x:f>
        <x:v>0</x:v>
      </x:c>
      <x:c r="W172" s="33" t="n">
        <x:f>IF(L172=K171,0,1)</x:f>
        <x:v>0</x:v>
      </x:c>
    </x:row>
    <x:row r="173">
      <x:c r="A173" s="29" t="n">
        <x:v>46100.5625</x:v>
      </x:c>
      <x:c r="B173" s="30" t="n">
        <x:v>178.00999450683594</x:v>
      </x:c>
      <x:c r="C173" s="30" t="n">
        <x:v>179.97999572753906</x:v>
      </x:c>
      <x:c r="D173" s="30" t="n">
        <x:v>175.7899932861328</x:v>
      </x:c>
      <x:c r="E173" s="30" t="n">
        <x:v>178.55999755859375</x:v>
      </x:c>
      <x:c r="F173" s="30" t="n">
        <x:v>178.3521270751953</x:v>
      </x:c>
      <x:c r="G173" s="31" t="n">
        <x:v>170968500</x:v>
      </x:c>
      <x:c r="H173" s="32" t="n">
        <x:f>F173/F172-1</x:f>
        <x:v>-0.010199568445272478</x:v>
      </x:c>
      <x:c r="I173" s="35" t="n">
        <x:f>AVERAGE(F154:F173)</x:f>
        <x:v>183.75632247924804</x:v>
      </x:c>
      <x:c r="J173" s="35" t="n">
        <x:f>AVERAGE(F124:F173)</x:f>
        <x:v>184.7046969604492</x:v>
      </x:c>
      <x:c r="K173" s="33" t="n">
        <x:f>IF(COUNT(I173:J173)=2,IF(I173&gt;J173,1,0),0)</x:f>
        <x:v>0</x:v>
      </x:c>
      <x:c r="L173" s="33" t="n">
        <x:f>K172</x:f>
        <x:v>0</x:v>
      </x:c>
      <x:c r="M173" s="36" t="n">
        <x:f>L173*H173-IF(L173&lt;&gt;L172,'Assumptions'!$B$7+'Assumptions'!$B$8,0)</x:f>
        <x:v>0</x:v>
      </x:c>
      <x:c r="N173" s="37" t="n">
        <x:f>N172*(1+M173)</x:f>
        <x:v>0.9745582896912204</x:v>
      </x:c>
      <x:c r="O173" s="36" t="n">
        <x:f>H173</x:f>
        <x:v>-0.010199568445272478</x:v>
      </x:c>
      <x:c r="P173" s="37" t="n">
        <x:f>P172*(1+O173)</x:f>
        <x:v>1.0451733190179309</x:v>
      </x:c>
      <x:c r="Q173" s="34" t="n">
        <x:f>MAX(Q172,N173)</x:f>
        <x:v>1.102391214096513</x:v>
      </x:c>
      <x:c r="R173" s="38" t="n">
        <x:f>N173/Q173-1</x:f>
        <x:v>-0.11595967272839769</x:v>
      </x:c>
      <x:c r="S173" s="39" t="n">
        <x:f>MAX(S172,P173)</x:f>
        <x:v>1.2117435874944003</x:v>
      </x:c>
      <x:c r="T173" s="38" t="n">
        <x:f>P173/S173-1</x:f>
        <x:v>-0.13746329685218095</x:v>
      </x:c>
      <x:c r="U173" s="33" t="n">
        <x:f>IF(AND(L173=1,L172=0),1,0)</x:f>
        <x:v>0</x:v>
      </x:c>
      <x:c r="V173" s="33" t="n">
        <x:f>IF(AND(L173=0,L172=1),1,0)</x:f>
        <x:v>0</x:v>
      </x:c>
      <x:c r="W173" s="33" t="n">
        <x:f>IF(L173=K172,0,1)</x:f>
        <x:v>0</x:v>
      </x:c>
    </x:row>
    <x:row r="174">
      <x:c r="A174" s="29" t="n">
        <x:v>46101.5625</x:v>
      </x:c>
      <x:c r="B174" s="30" t="n">
        <x:v>178</x:v>
      </x:c>
      <x:c r="C174" s="30" t="n">
        <x:v>178.25999450683594</x:v>
      </x:c>
      <x:c r="D174" s="30" t="n">
        <x:v>171.72000122070312</x:v>
      </x:c>
      <x:c r="E174" s="30" t="n">
        <x:v>172.6999969482422</x:v>
      </x:c>
      <x:c r="F174" s="30" t="n">
        <x:v>172.4989471435547</x:v>
      </x:c>
      <x:c r="G174" s="31" t="n">
        <x:v>241323500</x:v>
      </x:c>
      <x:c r="H174" s="32" t="n">
        <x:f>F174/F173-1</x:f>
        <x:v>-0.03281811115811839</x:v>
      </x:c>
      <x:c r="I174" s="35" t="n">
        <x:f>AVERAGE(F155:F174)</x:f>
        <x:v>182.9018310546875</x:v>
      </x:c>
      <x:c r="J174" s="35" t="n">
        <x:f>AVERAGE(F125:F174)</x:f>
        <x:v>184.37708343505858</x:v>
      </x:c>
      <x:c r="K174" s="33" t="n">
        <x:f>IF(COUNT(I174:J174)=2,IF(I174&gt;J174,1,0),0)</x:f>
        <x:v>0</x:v>
      </x:c>
      <x:c r="L174" s="33" t="n">
        <x:f>K173</x:f>
        <x:v>0</x:v>
      </x:c>
      <x:c r="M174" s="36" t="n">
        <x:f>L174*H174-IF(L174&lt;&gt;L173,'Assumptions'!$B$7+'Assumptions'!$B$8,0)</x:f>
        <x:v>0</x:v>
      </x:c>
      <x:c r="N174" s="37" t="n">
        <x:f>N173*(1+M174)</x:f>
        <x:v>0.9745582896912204</x:v>
      </x:c>
      <x:c r="O174" s="36" t="n">
        <x:f>H174</x:f>
        <x:v>-0.03281811115811839</x:v>
      </x:c>
      <x:c r="P174" s="37" t="n">
        <x:f>P173*(1+O174)</x:f>
        <x:v>1.0108727048549009</x:v>
      </x:c>
      <x:c r="Q174" s="34" t="n">
        <x:f>MAX(Q173,N174)</x:f>
        <x:v>1.102391214096513</x:v>
      </x:c>
      <x:c r="R174" s="38" t="n">
        <x:f>N174/Q174-1</x:f>
        <x:v>-0.11595967272839769</x:v>
      </x:c>
      <x:c r="S174" s="39" t="n">
        <x:f>MAX(S173,P174)</x:f>
        <x:v>1.2117435874944003</x:v>
      </x:c>
      <x:c r="T174" s="38" t="n">
        <x:f>P174/S174-1</x:f>
        <x:v>-0.16577012225404297</x:v>
      </x:c>
      <x:c r="U174" s="33" t="n">
        <x:f>IF(AND(L174=1,L173=0),1,0)</x:f>
        <x:v>0</x:v>
      </x:c>
      <x:c r="V174" s="33" t="n">
        <x:f>IF(AND(L174=0,L173=1),1,0)</x:f>
        <x:v>0</x:v>
      </x:c>
      <x:c r="W174" s="33" t="n">
        <x:f>IF(L174=K173,0,1)</x:f>
        <x:v>0</x:v>
      </x:c>
    </x:row>
    <x:row r="175">
      <x:c r="A175" s="29" t="n">
        <x:v>46104.5625</x:v>
      </x:c>
      <x:c r="B175" s="30" t="n">
        <x:v>177.25999450683594</x:v>
      </x:c>
      <x:c r="C175" s="30" t="n">
        <x:v>178.3699951171875</x:v>
      </x:c>
      <x:c r="D175" s="30" t="n">
        <x:v>174.75999450683594</x:v>
      </x:c>
      <x:c r="E175" s="30" t="n">
        <x:v>175.63999938964844</x:v>
      </x:c>
      <x:c r="F175" s="30" t="n">
        <x:v>175.43553161621094</x:v>
      </x:c>
      <x:c r="G175" s="31" t="n">
        <x:v>182836300</x:v>
      </x:c>
      <x:c r="H175" s="32" t="n">
        <x:f>F175/F174-1</x:f>
        <x:v>0.0170237820072745</x:v>
      </x:c>
      <x:c r="I175" s="35" t="n">
        <x:f>AVERAGE(F156:F175)</x:f>
        <x:v>182.10777435302734</x:v>
      </x:c>
      <x:c r="J175" s="35" t="n">
        <x:f>AVERAGE(F126:F175)</x:f>
        <x:v>184.1895022583008</x:v>
      </x:c>
      <x:c r="K175" s="33" t="n">
        <x:f>IF(COUNT(I175:J175)=2,IF(I175&gt;J175,1,0),0)</x:f>
        <x:v>0</x:v>
      </x:c>
      <x:c r="L175" s="33" t="n">
        <x:f>K174</x:f>
        <x:v>0</x:v>
      </x:c>
      <x:c r="M175" s="36" t="n">
        <x:f>L175*H175-IF(L175&lt;&gt;L174,'Assumptions'!$B$7+'Assumptions'!$B$8,0)</x:f>
        <x:v>0</x:v>
      </x:c>
      <x:c r="N175" s="37" t="n">
        <x:f>N174*(1+M175)</x:f>
        <x:v>0.9745582896912204</x:v>
      </x:c>
      <x:c r="O175" s="36" t="n">
        <x:f>H175</x:f>
        <x:v>0.0170237820072745</x:v>
      </x:c>
      <x:c r="P175" s="37" t="n">
        <x:f>P174*(1+O175)</x:f>
        <x:v>1.0280815814194546</x:v>
      </x:c>
      <x:c r="Q175" s="34" t="n">
        <x:f>MAX(Q174,N175)</x:f>
        <x:v>1.102391214096513</x:v>
      </x:c>
      <x:c r="R175" s="38" t="n">
        <x:f>N175/Q175-1</x:f>
        <x:v>-0.11595967272839769</x:v>
      </x:c>
      <x:c r="S175" s="39" t="n">
        <x:f>MAX(S174,P175)</x:f>
        <x:v>1.2117435874944003</x:v>
      </x:c>
      <x:c r="T175" s="38" t="n">
        <x:f>P175/S175-1</x:f>
        <x:v>-0.15156837467134066</x:v>
      </x:c>
      <x:c r="U175" s="33" t="n">
        <x:f>IF(AND(L175=1,L174=0),1,0)</x:f>
        <x:v>0</x:v>
      </x:c>
      <x:c r="V175" s="33" t="n">
        <x:f>IF(AND(L175=0,L174=1),1,0)</x:f>
        <x:v>0</x:v>
      </x:c>
      <x:c r="W175" s="33" t="n">
        <x:f>IF(L175=K174,0,1)</x:f>
        <x:v>0</x:v>
      </x:c>
    </x:row>
    <x:row r="176">
      <x:c r="A176" s="29" t="n">
        <x:v>46105.5625</x:v>
      </x:c>
      <x:c r="B176" s="30" t="n">
        <x:v>174.8300018310547</x:v>
      </x:c>
      <x:c r="C176" s="30" t="n">
        <x:v>176.22000122070312</x:v>
      </x:c>
      <x:c r="D176" s="30" t="n">
        <x:v>173.97999572753906</x:v>
      </x:c>
      <x:c r="E176" s="30" t="n">
        <x:v>175.1999969482422</x:v>
      </x:c>
      <x:c r="F176" s="30" t="n">
        <x:v>174.99603271484375</x:v>
      </x:c>
      <x:c r="G176" s="31" t="n">
        <x:v>147667800</x:v>
      </x:c>
      <x:c r="H176" s="32" t="n">
        <x:f>F176/F175-1</x:f>
        <x:v>-0.00250518750288653</x:v>
      </x:c>
      <x:c r="I176" s="35" t="n">
        <x:f>AVERAGE(F157:F176)</x:f>
        <x:v>181.22682189941406</x:v>
      </x:c>
      <x:c r="J176" s="35" t="n">
        <x:f>AVERAGE(F127:F176)</x:f>
        <x:v>183.9967269897461</x:v>
      </x:c>
      <x:c r="K176" s="33" t="n">
        <x:f>IF(COUNT(I176:J176)=2,IF(I176&gt;J176,1,0),0)</x:f>
        <x:v>0</x:v>
      </x:c>
      <x:c r="L176" s="33" t="n">
        <x:f>K175</x:f>
        <x:v>0</x:v>
      </x:c>
      <x:c r="M176" s="36" t="n">
        <x:f>L176*H176-IF(L176&lt;&gt;L175,'Assumptions'!$B$7+'Assumptions'!$B$8,0)</x:f>
        <x:v>0</x:v>
      </x:c>
      <x:c r="N176" s="37" t="n">
        <x:f>N175*(1+M176)</x:f>
        <x:v>0.9745582896912204</x:v>
      </x:c>
      <x:c r="O176" s="36" t="n">
        <x:f>H176</x:f>
        <x:v>-0.00250518750288653</x:v>
      </x:c>
      <x:c r="P176" s="37" t="n">
        <x:f>P175*(1+O176)</x:f>
        <x:v>1.0255060442897348</x:v>
      </x:c>
      <x:c r="Q176" s="34" t="n">
        <x:f>MAX(Q175,N176)</x:f>
        <x:v>1.102391214096513</x:v>
      </x:c>
      <x:c r="R176" s="38" t="n">
        <x:f>N176/Q176-1</x:f>
        <x:v>-0.11595967272839769</x:v>
      </x:c>
      <x:c r="S176" s="39" t="n">
        <x:f>MAX(S175,P176)</x:f>
        <x:v>1.2117435874944003</x:v>
      </x:c>
      <x:c r="T176" s="38" t="n">
        <x:f>P176/S176-1</x:f>
        <x:v>-0.1536938549761676</x:v>
      </x:c>
      <x:c r="U176" s="33" t="n">
        <x:f>IF(AND(L176=1,L175=0),1,0)</x:f>
        <x:v>0</x:v>
      </x:c>
      <x:c r="V176" s="33" t="n">
        <x:f>IF(AND(L176=0,L175=1),1,0)</x:f>
        <x:v>0</x:v>
      </x:c>
      <x:c r="W176" s="33" t="n">
        <x:f>IF(L176=K175,0,1)</x:f>
        <x:v>0</x:v>
      </x:c>
    </x:row>
    <x:row r="177">
      <x:c r="A177" s="29" t="n">
        <x:v>46106.5625</x:v>
      </x:c>
      <x:c r="B177" s="30" t="n">
        <x:v>177.10000610351562</x:v>
      </x:c>
      <x:c r="C177" s="30" t="n">
        <x:v>181.22000122070312</x:v>
      </x:c>
      <x:c r="D177" s="30" t="n">
        <x:v>176.85000610351562</x:v>
      </x:c>
      <x:c r="E177" s="30" t="n">
        <x:v>178.67999267578125</x:v>
      </x:c>
      <x:c r="F177" s="30" t="n">
        <x:v>178.47198486328125</x:v>
      </x:c>
      <x:c r="G177" s="31" t="n">
        <x:v>162602100</x:v>
      </x:c>
      <x:c r="H177" s="32" t="n">
        <x:f>F177/F176-1</x:f>
        <x:v>0.019863034004328428</x:v>
      </x:c>
      <x:c r="I177" s="35" t="n">
        <x:f>AVERAGE(F158:F177)</x:f>
        <x:v>180.38433303833008</x:v>
      </x:c>
      <x:c r="J177" s="35" t="n">
        <x:f>AVERAGE(F128:F177)</x:f>
        <x:v>183.87187255859374</x:v>
      </x:c>
      <x:c r="K177" s="33" t="n">
        <x:f>IF(COUNT(I177:J177)=2,IF(I177&gt;J177,1,0),0)</x:f>
        <x:v>0</x:v>
      </x:c>
      <x:c r="L177" s="33" t="n">
        <x:f>K176</x:f>
        <x:v>0</x:v>
      </x:c>
      <x:c r="M177" s="36" t="n">
        <x:f>L177*H177-IF(L177&lt;&gt;L176,'Assumptions'!$B$7+'Assumptions'!$B$8,0)</x:f>
        <x:v>0</x:v>
      </x:c>
      <x:c r="N177" s="37" t="n">
        <x:f>N176*(1+M177)</x:f>
        <x:v>0.9745582896912204</x:v>
      </x:c>
      <x:c r="O177" s="36" t="n">
        <x:f>H177</x:f>
        <x:v>0.019863034004328428</x:v>
      </x:c>
      <x:c r="P177" s="37" t="n">
        <x:f>P176*(1+O177)</x:f>
        <x:v>1.0458757057191062</x:v>
      </x:c>
      <x:c r="Q177" s="34" t="n">
        <x:f>MAX(Q176,N177)</x:f>
        <x:v>1.102391214096513</x:v>
      </x:c>
      <x:c r="R177" s="38" t="n">
        <x:f>N177/Q177-1</x:f>
        <x:v>-0.11595967272839769</x:v>
      </x:c>
      <x:c r="S177" s="39" t="n">
        <x:f>MAX(S176,P177)</x:f>
        <x:v>1.2117435874944003</x:v>
      </x:c>
      <x:c r="T177" s="38" t="n">
        <x:f>P177/S177-1</x:f>
        <x:v>-0.1368836472394871</x:v>
      </x:c>
      <x:c r="U177" s="33" t="n">
        <x:f>IF(AND(L177=1,L176=0),1,0)</x:f>
        <x:v>0</x:v>
      </x:c>
      <x:c r="V177" s="33" t="n">
        <x:f>IF(AND(L177=0,L176=1),1,0)</x:f>
        <x:v>0</x:v>
      </x:c>
      <x:c r="W177" s="33" t="n">
        <x:f>IF(L177=K176,0,1)</x:f>
        <x:v>0</x:v>
      </x:c>
    </x:row>
    <x:row r="178">
      <x:c r="A178" s="29" t="n">
        <x:v>46107.5625</x:v>
      </x:c>
      <x:c r="B178" s="30" t="n">
        <x:v>176.07000732421875</x:v>
      </x:c>
      <x:c r="C178" s="30" t="n">
        <x:v>176.50999450683594</x:v>
      </x:c>
      <x:c r="D178" s="30" t="n">
        <x:v>171.13999938964844</x:v>
      </x:c>
      <x:c r="E178" s="30" t="n">
        <x:v>171.24000549316406</x:v>
      </x:c>
      <x:c r="F178" s="30" t="n">
        <x:v>171.04066467285156</x:v>
      </x:c>
      <x:c r="G178" s="31" t="n">
        <x:v>186152200</x:v>
      </x:c>
      <x:c r="H178" s="32" t="n">
        <x:f>F178/F177-1</x:f>
        <x:v>-0.04163858095780393</x:v>
      </x:c>
      <x:c r="I178" s="35" t="n">
        <x:f>AVERAGE(F159:F178)</x:f>
        <x:v>179.7031280517578</x:v>
      </x:c>
      <x:c r="J178" s="35" t="n">
        <x:f>AVERAGE(F129:F178)</x:f>
        <x:v>183.58101287841797</x:v>
      </x:c>
      <x:c r="K178" s="33" t="n">
        <x:f>IF(COUNT(I178:J178)=2,IF(I178&gt;J178,1,0),0)</x:f>
        <x:v>0</x:v>
      </x:c>
      <x:c r="L178" s="33" t="n">
        <x:f>K177</x:f>
        <x:v>0</x:v>
      </x:c>
      <x:c r="M178" s="36" t="n">
        <x:f>L178*H178-IF(L178&lt;&gt;L177,'Assumptions'!$B$7+'Assumptions'!$B$8,0)</x:f>
        <x:v>0</x:v>
      </x:c>
      <x:c r="N178" s="37" t="n">
        <x:f>N177*(1+M178)</x:f>
        <x:v>0.9745582896912204</x:v>
      </x:c>
      <x:c r="O178" s="36" t="n">
        <x:f>H178</x:f>
        <x:v>-0.04163858095780393</x:v>
      </x:c>
      <x:c r="P178" s="37" t="n">
        <x:f>P177*(1+O178)</x:f>
        <x:v>1.002326925474721</x:v>
      </x:c>
      <x:c r="Q178" s="34" t="n">
        <x:f>MAX(Q177,N178)</x:f>
        <x:v>1.102391214096513</x:v>
      </x:c>
      <x:c r="R178" s="38" t="n">
        <x:f>N178/Q178-1</x:f>
        <x:v>-0.11595967272839769</x:v>
      </x:c>
      <x:c r="S178" s="39" t="n">
        <x:f>MAX(S177,P178)</x:f>
        <x:v>1.2117435874944003</x:v>
      </x:c>
      <x:c r="T178" s="38" t="n">
        <x:f>P178/S178-1</x:f>
        <x:v>-0.17282258736991019</x:v>
      </x:c>
      <x:c r="U178" s="33" t="n">
        <x:f>IF(AND(L178=1,L177=0),1,0)</x:f>
        <x:v>0</x:v>
      </x:c>
      <x:c r="V178" s="33" t="n">
        <x:f>IF(AND(L178=0,L177=1),1,0)</x:f>
        <x:v>0</x:v>
      </x:c>
      <x:c r="W178" s="33" t="n">
        <x:f>IF(L178=K177,0,1)</x:f>
        <x:v>0</x:v>
      </x:c>
    </x:row>
    <x:row r="179">
      <x:c r="A179" s="29" t="n">
        <x:v>46108.5625</x:v>
      </x:c>
      <x:c r="B179" s="30" t="n">
        <x:v>170</x:v>
      </x:c>
      <x:c r="C179" s="30" t="n">
        <x:v>170.97000122070312</x:v>
      </x:c>
      <x:c r="D179" s="30" t="n">
        <x:v>167.00999450683594</x:v>
      </x:c>
      <x:c r="E179" s="30" t="n">
        <x:v>167.52000427246094</x:v>
      </x:c>
      <x:c r="F179" s="30" t="n">
        <x:v>167.32498168945312</x:v>
      </x:c>
      <x:c r="G179" s="31" t="n">
        <x:v>196212700</x:v>
      </x:c>
      <x:c r="H179" s="32" t="n">
        <x:f>F179/F178-1</x:f>
        <x:v>-0.021723974181843797</x:v>
      </x:c>
      <x:c r="I179" s="35" t="n">
        <x:f>AVERAGE(F160:F179)</x:f>
        <x:v>179.22066955566407</x:v>
      </x:c>
      <x:c r="J179" s="35" t="n">
        <x:f>AVERAGE(F130:F179)</x:f>
        <x:v>183.2691748046875</x:v>
      </x:c>
      <x:c r="K179" s="33" t="n">
        <x:f>IF(COUNT(I179:J179)=2,IF(I179&gt;J179,1,0),0)</x:f>
        <x:v>0</x:v>
      </x:c>
      <x:c r="L179" s="33" t="n">
        <x:f>K178</x:f>
        <x:v>0</x:v>
      </x:c>
      <x:c r="M179" s="36" t="n">
        <x:f>L179*H179-IF(L179&lt;&gt;L178,'Assumptions'!$B$7+'Assumptions'!$B$8,0)</x:f>
        <x:v>0</x:v>
      </x:c>
      <x:c r="N179" s="37" t="n">
        <x:f>N178*(1+M179)</x:f>
        <x:v>0.9745582896912204</x:v>
      </x:c>
      <x:c r="O179" s="36" t="n">
        <x:f>H179</x:f>
        <x:v>-0.021723974181843797</x:v>
      </x:c>
      <x:c r="P179" s="37" t="n">
        <x:f>P178*(1+O179)</x:f>
        <x:v>0.9805524012239412</x:v>
      </x:c>
      <x:c r="Q179" s="34" t="n">
        <x:f>MAX(Q178,N179)</x:f>
        <x:v>1.102391214096513</x:v>
      </x:c>
      <x:c r="R179" s="38" t="n">
        <x:f>N179/Q179-1</x:f>
        <x:v>-0.11595967272839769</x:v>
      </x:c>
      <x:c r="S179" s="39" t="n">
        <x:f>MAX(S178,P179)</x:f>
        <x:v>1.2117435874944003</x:v>
      </x:c>
      <x:c r="T179" s="38" t="n">
        <x:f>P179/S179-1</x:f>
        <x:v>-0.19079216812569055</x:v>
      </x:c>
      <x:c r="U179" s="33" t="n">
        <x:f>IF(AND(L179=1,L178=0),1,0)</x:f>
        <x:v>0</x:v>
      </x:c>
      <x:c r="V179" s="33" t="n">
        <x:f>IF(AND(L179=0,L178=1),1,0)</x:f>
        <x:v>0</x:v>
      </x:c>
      <x:c r="W179" s="33" t="n">
        <x:f>IF(L179=K178,0,1)</x:f>
        <x:v>0</x:v>
      </x:c>
    </x:row>
    <x:row r="180">
      <x:c r="A180" s="29" t="n">
        <x:v>46111.5625</x:v>
      </x:c>
      <x:c r="B180" s="30" t="n">
        <x:v>168.77999877929688</x:v>
      </x:c>
      <x:c r="C180" s="30" t="n">
        <x:v>169.4499969482422</x:v>
      </x:c>
      <x:c r="D180" s="30" t="n">
        <x:v>164.27000427246094</x:v>
      </x:c>
      <x:c r="E180" s="30" t="n">
        <x:v>165.1699981689453</x:v>
      </x:c>
      <x:c r="F180" s="30" t="n">
        <x:v>164.97772216796875</x:v>
      </x:c>
      <x:c r="G180" s="31" t="n">
        <x:v>185627000</x:v>
      </x:c>
      <x:c r="H180" s="32" t="n">
        <x:f>F180/F179-1</x:f>
        <x:v>-0.014028147487508913</x:v>
      </x:c>
      <x:c r="I180" s="35" t="n">
        <x:f>AVERAGE(F161:F180)</x:f>
        <x:v>178.35667037963867</x:v>
      </x:c>
      <x:c r="J180" s="35" t="n">
        <x:f>AVERAGE(F131:F180)</x:f>
        <x:v>182.83228637695314</x:v>
      </x:c>
      <x:c r="K180" s="33" t="n">
        <x:f>IF(COUNT(I180:J180)=2,IF(I180&gt;J180,1,0),0)</x:f>
        <x:v>0</x:v>
      </x:c>
      <x:c r="L180" s="33" t="n">
        <x:f>K179</x:f>
        <x:v>0</x:v>
      </x:c>
      <x:c r="M180" s="36" t="n">
        <x:f>L180*H180-IF(L180&lt;&gt;L179,'Assumptions'!$B$7+'Assumptions'!$B$8,0)</x:f>
        <x:v>0</x:v>
      </x:c>
      <x:c r="N180" s="37" t="n">
        <x:f>N179*(1+M180)</x:f>
        <x:v>0.9745582896912204</x:v>
      </x:c>
      <x:c r="O180" s="36" t="n">
        <x:f>H180</x:f>
        <x:v>-0.014028147487508913</x:v>
      </x:c>
      <x:c r="P180" s="37" t="n">
        <x:f>P179*(1+O180)</x:f>
        <x:v>0.9667970675203407</x:v>
      </x:c>
      <x:c r="Q180" s="34" t="n">
        <x:f>MAX(Q179,N180)</x:f>
        <x:v>1.102391214096513</x:v>
      </x:c>
      <x:c r="R180" s="38" t="n">
        <x:f>N180/Q180-1</x:f>
        <x:v>-0.11595967272839769</x:v>
      </x:c>
      <x:c r="S180" s="39" t="n">
        <x:f>MAX(S179,P180)</x:f>
        <x:v>1.2117435874944003</x:v>
      </x:c>
      <x:c r="T180" s="38" t="n">
        <x:f>P180/S180-1</x:f>
        <x:v>-0.20214385493927078</x:v>
      </x:c>
      <x:c r="U180" s="33" t="n">
        <x:f>IF(AND(L180=1,L179=0),1,0)</x:f>
        <x:v>0</x:v>
      </x:c>
      <x:c r="V180" s="33" t="n">
        <x:f>IF(AND(L180=0,L179=1),1,0)</x:f>
        <x:v>0</x:v>
      </x:c>
      <x:c r="W180" s="33" t="n">
        <x:f>IF(L180=K179,0,1)</x:f>
        <x:v>0</x:v>
      </x:c>
    </x:row>
    <x:row r="181">
      <x:c r="A181" s="29" t="n">
        <x:v>46112.5625</x:v>
      </x:c>
      <x:c r="B181" s="30" t="n">
        <x:v>166.97000122070312</x:v>
      </x:c>
      <x:c r="C181" s="30" t="n">
        <x:v>174.6199951171875</x:v>
      </x:c>
      <x:c r="D181" s="30" t="n">
        <x:v>166.9600067138672</x:v>
      </x:c>
      <x:c r="E181" s="30" t="n">
        <x:v>174.39999389648438</x:v>
      </x:c>
      <x:c r="F181" s="30" t="n">
        <x:v>174.1969757080078</x:v>
      </x:c>
      <x:c r="G181" s="31" t="n">
        <x:v>226181300</x:v>
      </x:c>
      <x:c r="H181" s="32" t="n">
        <x:f>F181/F180-1</x:f>
        <x:v>0.05588180888236938</x:v>
      </x:c>
      <x:c r="I181" s="35" t="n">
        <x:f>AVERAGE(F162:F181)</x:f>
        <x:v>178.07498626708986</x:v>
      </x:c>
      <x:c r="J181" s="35" t="n">
        <x:f>AVERAGE(F132:F181)</x:f>
        <x:v>182.59616333007813</x:v>
      </x:c>
      <x:c r="K181" s="33" t="n">
        <x:f>IF(COUNT(I181:J181)=2,IF(I181&gt;J181,1,0),0)</x:f>
        <x:v>0</x:v>
      </x:c>
      <x:c r="L181" s="33" t="n">
        <x:f>K180</x:f>
        <x:v>0</x:v>
      </x:c>
      <x:c r="M181" s="36" t="n">
        <x:f>L181*H181-IF(L181&lt;&gt;L180,'Assumptions'!$B$7+'Assumptions'!$B$8,0)</x:f>
        <x:v>0</x:v>
      </x:c>
      <x:c r="N181" s="37" t="n">
        <x:f>N180*(1+M181)</x:f>
        <x:v>0.9745582896912204</x:v>
      </x:c>
      <x:c r="O181" s="36" t="n">
        <x:f>H181</x:f>
        <x:v>0.05588180888236938</x:v>
      </x:c>
      <x:c r="P181" s="37" t="n">
        <x:f>P180*(1+O181)</x:f>
        <x:v>1.0208234364755475</x:v>
      </x:c>
      <x:c r="Q181" s="34" t="n">
        <x:f>MAX(Q180,N181)</x:f>
        <x:v>1.102391214096513</x:v>
      </x:c>
      <x:c r="R181" s="38" t="n">
        <x:f>N181/Q181-1</x:f>
        <x:v>-0.11595967272839769</x:v>
      </x:c>
      <x:c r="S181" s="39" t="n">
        <x:f>MAX(S180,P181)</x:f>
        <x:v>1.2117435874944003</x:v>
      </x:c>
      <x:c r="T181" s="38" t="n">
        <x:f>P181/S181-1</x:f>
        <x:v>-0.1575582103253631</x:v>
      </x:c>
      <x:c r="U181" s="33" t="n">
        <x:f>IF(AND(L181=1,L180=0),1,0)</x:f>
        <x:v>0</x:v>
      </x:c>
      <x:c r="V181" s="33" t="n">
        <x:f>IF(AND(L181=0,L180=1),1,0)</x:f>
        <x:v>0</x:v>
      </x:c>
      <x:c r="W181" s="33" t="n">
        <x:f>IF(L181=K180,0,1)</x:f>
        <x:v>0</x:v>
      </x:c>
    </x:row>
    <x:row r="182">
      <x:c r="A182" s="29" t="n">
        <x:v>46113.5625</x:v>
      </x:c>
      <x:c r="B182" s="30" t="n">
        <x:v>176</x:v>
      </x:c>
      <x:c r="C182" s="30" t="n">
        <x:v>177.3699951171875</x:v>
      </x:c>
      <x:c r="D182" s="30" t="n">
        <x:v>174.75</x:v>
      </x:c>
      <x:c r="E182" s="30" t="n">
        <x:v>175.75</x:v>
      </x:c>
      <x:c r="F182" s="30" t="n">
        <x:v>175.54541015625</x:v>
      </x:c>
      <x:c r="G182" s="31" t="n">
        <x:v>168132000</x:v>
      </x:c>
      <x:c r="H182" s="32" t="n">
        <x:f>F182/F181-1</x:f>
        <x:v>0.007740860269023653</x:v>
      </x:c>
      <x:c r="I182" s="35" t="n">
        <x:f>AVERAGE(F163:F182)</x:f>
        <x:v>177.7114059448242</x:v>
      </x:c>
      <x:c r="J182" s="35" t="n">
        <x:f>AVERAGE(F133:F182)</x:f>
        <x:v>182.5500100708008</x:v>
      </x:c>
      <x:c r="K182" s="33" t="n">
        <x:f>IF(COUNT(I182:J182)=2,IF(I182&gt;J182,1,0),0)</x:f>
        <x:v>0</x:v>
      </x:c>
      <x:c r="L182" s="33" t="n">
        <x:f>K181</x:f>
        <x:v>0</x:v>
      </x:c>
      <x:c r="M182" s="36" t="n">
        <x:f>L182*H182-IF(L182&lt;&gt;L181,'Assumptions'!$B$7+'Assumptions'!$B$8,0)</x:f>
        <x:v>0</x:v>
      </x:c>
      <x:c r="N182" s="37" t="n">
        <x:f>N181*(1+M182)</x:f>
        <x:v>0.9745582896912204</x:v>
      </x:c>
      <x:c r="O182" s="36" t="n">
        <x:f>H182</x:f>
        <x:v>0.007740860269023653</x:v>
      </x:c>
      <x:c r="P182" s="37" t="n">
        <x:f>P181*(1+O182)</x:f>
        <x:v>1.0287254880566492</x:v>
      </x:c>
      <x:c r="Q182" s="34" t="n">
        <x:f>MAX(Q181,N182)</x:f>
        <x:v>1.102391214096513</x:v>
      </x:c>
      <x:c r="R182" s="38" t="n">
        <x:f>N182/Q182-1</x:f>
        <x:v>-0.11595967272839769</x:v>
      </x:c>
      <x:c r="S182" s="39" t="n">
        <x:f>MAX(S181,P182)</x:f>
        <x:v>1.2117435874944003</x:v>
      </x:c>
      <x:c r="T182" s="38" t="n">
        <x:f>P182/S182-1</x:f>
        <x:v>-0.15103698614670558</x:v>
      </x:c>
      <x:c r="U182" s="33" t="n">
        <x:f>IF(AND(L182=1,L181=0),1,0)</x:f>
        <x:v>0</x:v>
      </x:c>
      <x:c r="V182" s="33" t="n">
        <x:f>IF(AND(L182=0,L181=1),1,0)</x:f>
        <x:v>0</x:v>
      </x:c>
      <x:c r="W182" s="33" t="n">
        <x:f>IF(L182=K181,0,1)</x:f>
        <x:v>0</x:v>
      </x:c>
    </x:row>
    <x:row r="183">
      <x:c r="A183" s="29" t="n">
        <x:v>46114.5625</x:v>
      </x:c>
      <x:c r="B183" s="30" t="n">
        <x:v>172.17999267578125</x:v>
      </x:c>
      <x:c r="C183" s="30" t="n">
        <x:v>177.49000549316406</x:v>
      </x:c>
      <x:c r="D183" s="30" t="n">
        <x:v>171.3699951171875</x:v>
      </x:c>
      <x:c r="E183" s="30" t="n">
        <x:v>177.38999938964844</x:v>
      </x:c>
      <x:c r="F183" s="30" t="n">
        <x:v>177.18348693847656</x:v>
      </x:c>
      <x:c r="G183" s="31" t="n">
        <x:v>143143200</x:v>
      </x:c>
      <x:c r="H183" s="32" t="n">
        <x:f>F183/F182-1</x:f>
        <x:v>0.009331356375359201</x:v>
      </x:c>
      <x:c r="I183" s="35" t="n">
        <x:f>AVERAGE(F164:F183)</x:f>
        <x:v>177.4147476196289</x:v>
      </x:c>
      <x:c r="J183" s="35" t="n">
        <x:f>AVERAGE(F134:F183)</x:f>
        <x:v>182.43174591064454</x:v>
      </x:c>
      <x:c r="K183" s="33" t="n">
        <x:f>IF(COUNT(I183:J183)=2,IF(I183&gt;J183,1,0),0)</x:f>
        <x:v>0</x:v>
      </x:c>
      <x:c r="L183" s="33" t="n">
        <x:f>K182</x:f>
        <x:v>0</x:v>
      </x:c>
      <x:c r="M183" s="36" t="n">
        <x:f>L183*H183-IF(L183&lt;&gt;L182,'Assumptions'!$B$7+'Assumptions'!$B$8,0)</x:f>
        <x:v>0</x:v>
      </x:c>
      <x:c r="N183" s="37" t="n">
        <x:f>N182*(1+M183)</x:f>
        <x:v>0.9745582896912204</x:v>
      </x:c>
      <x:c r="O183" s="36" t="n">
        <x:f>H183</x:f>
        <x:v>0.009331356375359201</x:v>
      </x:c>
      <x:c r="P183" s="37" t="n">
        <x:f>P182*(1+O183)</x:f>
        <x:v>1.0383248921981212</x:v>
      </x:c>
      <x:c r="Q183" s="34" t="n">
        <x:f>MAX(Q182,N183)</x:f>
        <x:v>1.102391214096513</x:v>
      </x:c>
      <x:c r="R183" s="38" t="n">
        <x:f>N183/Q183-1</x:f>
        <x:v>-0.11595967272839769</x:v>
      </x:c>
      <x:c r="S183" s="39" t="n">
        <x:f>MAX(S182,P183)</x:f>
        <x:v>1.2117435874944003</x:v>
      </x:c>
      <x:c r="T183" s="38" t="n">
        <x:f>P183/S183-1</x:f>
        <x:v>-0.1431150097149414</x:v>
      </x:c>
      <x:c r="U183" s="33" t="n">
        <x:f>IF(AND(L183=1,L182=0),1,0)</x:f>
        <x:v>0</x:v>
      </x:c>
      <x:c r="V183" s="33" t="n">
        <x:f>IF(AND(L183=0,L182=1),1,0)</x:f>
        <x:v>0</x:v>
      </x:c>
      <x:c r="W183" s="33" t="n">
        <x:f>IF(L183=K182,0,1)</x:f>
        <x:v>0</x:v>
      </x:c>
    </x:row>
    <x:row r="184">
      <x:c r="A184" s="29" t="n">
        <x:v>46118.5625</x:v>
      </x:c>
      <x:c r="B184" s="30" t="n">
        <x:v>177.16000366210938</x:v>
      </x:c>
      <x:c r="C184" s="30" t="n">
        <x:v>177.7899932861328</x:v>
      </x:c>
      <x:c r="D184" s="30" t="n">
        <x:v>175.75999450683594</x:v>
      </x:c>
      <x:c r="E184" s="30" t="n">
        <x:v>177.63999938964844</x:v>
      </x:c>
      <x:c r="F184" s="30" t="n">
        <x:v>177.43319702148438</x:v>
      </x:c>
      <x:c r="G184" s="31" t="n">
        <x:v>107564300</x:v>
      </x:c>
      <x:c r="H184" s="32" t="n">
        <x:f>F184/F183-1</x:f>
        <x:v>0.0014093304479019242</x:v>
      </x:c>
      <x:c r="I184" s="35" t="n">
        <x:f>AVERAGE(F165:F184)</x:f>
        <x:v>177.4062385559082</x:v>
      </x:c>
      <x:c r="J184" s="35" t="n">
        <x:f>AVERAGE(F135:F184)</x:f>
        <x:v>182.28811340332032</x:v>
      </x:c>
      <x:c r="K184" s="33" t="n">
        <x:f>IF(COUNT(I184:J184)=2,IF(I184&gt;J184,1,0),0)</x:f>
        <x:v>0</x:v>
      </x:c>
      <x:c r="L184" s="33" t="n">
        <x:f>K183</x:f>
        <x:v>0</x:v>
      </x:c>
      <x:c r="M184" s="36" t="n">
        <x:f>L184*H184-IF(L184&lt;&gt;L183,'Assumptions'!$B$7+'Assumptions'!$B$8,0)</x:f>
        <x:v>0</x:v>
      </x:c>
      <x:c r="N184" s="37" t="n">
        <x:f>N183*(1+M184)</x:f>
        <x:v>0.9745582896912204</x:v>
      </x:c>
      <x:c r="O184" s="36" t="n">
        <x:f>H184</x:f>
        <x:v>0.0014093304479019242</x:v>
      </x:c>
      <x:c r="P184" s="37" t="n">
        <x:f>P183*(1+O184)</x:f>
        <x:v>1.0397882350835104</x:v>
      </x:c>
      <x:c r="Q184" s="34" t="n">
        <x:f>MAX(Q183,N184)</x:f>
        <x:v>1.102391214096513</x:v>
      </x:c>
      <x:c r="R184" s="38" t="n">
        <x:f>N184/Q184-1</x:f>
        <x:v>-0.11595967272839769</x:v>
      </x:c>
      <x:c r="S184" s="39" t="n">
        <x:f>MAX(S183,P184)</x:f>
        <x:v>1.2117435874944003</x:v>
      </x:c>
      <x:c r="T184" s="38" t="n">
        <x:f>P184/S184-1</x:f>
        <x:v>-0.14190737560778266</x:v>
      </x:c>
      <x:c r="U184" s="33" t="n">
        <x:f>IF(AND(L184=1,L183=0),1,0)</x:f>
        <x:v>0</x:v>
      </x:c>
      <x:c r="V184" s="33" t="n">
        <x:f>IF(AND(L184=0,L183=1),1,0)</x:f>
        <x:v>0</x:v>
      </x:c>
      <x:c r="W184" s="33" t="n">
        <x:f>IF(L184=K183,0,1)</x:f>
        <x:v>0</x:v>
      </x:c>
    </x:row>
    <x:row r="185">
      <x:c r="A185" s="29" t="n">
        <x:v>46119.5625</x:v>
      </x:c>
      <x:c r="B185" s="30" t="n">
        <x:v>175.72999572753906</x:v>
      </x:c>
      <x:c r="C185" s="30" t="n">
        <x:v>178.22999572753906</x:v>
      </x:c>
      <x:c r="D185" s="30" t="n">
        <x:v>173.66000366210938</x:v>
      </x:c>
      <x:c r="E185" s="30" t="n">
        <x:v>178.10000610351562</x:v>
      </x:c>
      <x:c r="F185" s="30" t="n">
        <x:v>177.89266967773438</x:v>
      </x:c>
      <x:c r="G185" s="31" t="n">
        <x:v>132534900</x:v>
      </x:c>
      <x:c r="H185" s="32" t="n">
        <x:f>F185/F184-1</x:f>
        <x:v>0.00258955293576979</x:v>
      </x:c>
      <x:c r="I185" s="35" t="n">
        <x:f>AVERAGE(F166:F185)</x:f>
        <x:v>177.17949752807618</x:v>
      </x:c>
      <x:c r="J185" s="35" t="n">
        <x:f>AVERAGE(F136:F185)</x:f>
        <x:v>182.09713928222655</x:v>
      </x:c>
      <x:c r="K185" s="33" t="n">
        <x:f>IF(COUNT(I185:J185)=2,IF(I185&gt;J185,1,0),0)</x:f>
        <x:v>0</x:v>
      </x:c>
      <x:c r="L185" s="33" t="n">
        <x:f>K184</x:f>
        <x:v>0</x:v>
      </x:c>
      <x:c r="M185" s="36" t="n">
        <x:f>L185*H185-IF(L185&lt;&gt;L184,'Assumptions'!$B$7+'Assumptions'!$B$8,0)</x:f>
        <x:v>0</x:v>
      </x:c>
      <x:c r="N185" s="37" t="n">
        <x:f>N184*(1+M185)</x:f>
        <x:v>0.9745582896912204</x:v>
      </x:c>
      <x:c r="O185" s="36" t="n">
        <x:f>H185</x:f>
        <x:v>0.00258955293576979</x:v>
      </x:c>
      <x:c r="P185" s="37" t="n">
        <x:f>P184*(1+O185)</x:f>
        <x:v>1.0424808217602497</x:v>
      </x:c>
      <x:c r="Q185" s="34" t="n">
        <x:f>MAX(Q184,N185)</x:f>
        <x:v>1.102391214096513</x:v>
      </x:c>
      <x:c r="R185" s="38" t="n">
        <x:f>N185/Q185-1</x:f>
        <x:v>-0.11595967272839769</x:v>
      </x:c>
      <x:c r="S185" s="39" t="n">
        <x:f>MAX(S184,P185)</x:f>
        <x:v>1.2117435874944003</x:v>
      </x:c>
      <x:c r="T185" s="38" t="n">
        <x:f>P185/S185-1</x:f>
        <x:v>-0.13968529933312546</x:v>
      </x:c>
      <x:c r="U185" s="33" t="n">
        <x:f>IF(AND(L185=1,L184=0),1,0)</x:f>
        <x:v>0</x:v>
      </x:c>
      <x:c r="V185" s="33" t="n">
        <x:f>IF(AND(L185=0,L184=1),1,0)</x:f>
        <x:v>0</x:v>
      </x:c>
      <x:c r="W185" s="33" t="n">
        <x:f>IF(L185=K184,0,1)</x:f>
        <x:v>0</x:v>
      </x:c>
    </x:row>
    <x:row r="186">
      <x:c r="A186" s="29" t="n">
        <x:v>46120.5625</x:v>
      </x:c>
      <x:c r="B186" s="30" t="n">
        <x:v>184.5</x:v>
      </x:c>
      <x:c r="C186" s="30" t="n">
        <x:v>185.25999450683594</x:v>
      </x:c>
      <x:c r="D186" s="30" t="n">
        <x:v>180.3000030517578</x:v>
      </x:c>
      <x:c r="E186" s="30" t="n">
        <x:v>182.0800018310547</x:v>
      </x:c>
      <x:c r="F186" s="30" t="n">
        <x:v>181.8680419921875</x:v>
      </x:c>
      <x:c r="G186" s="31" t="n">
        <x:v>147732700</x:v>
      </x:c>
      <x:c r="H186" s="32" t="n">
        <x:f>F186/F185-1</x:f>
        <x:v>0.0223470271240227</x:v>
      </x:c>
      <x:c r="I186" s="35" t="n">
        <x:f>AVERAGE(F167:F186)</x:f>
        <x:v>177.04565353393554</x:v>
      </x:c>
      <x:c r="J186" s="35" t="n">
        <x:f>AVERAGE(F137:F186)</x:f>
        <x:v>182.00964324951173</x:v>
      </x:c>
      <x:c r="K186" s="33" t="n">
        <x:f>IF(COUNT(I186:J186)=2,IF(I186&gt;J186,1,0),0)</x:f>
        <x:v>0</x:v>
      </x:c>
      <x:c r="L186" s="33" t="n">
        <x:f>K185</x:f>
        <x:v>0</x:v>
      </x:c>
      <x:c r="M186" s="36" t="n">
        <x:f>L186*H186-IF(L186&lt;&gt;L185,'Assumptions'!$B$7+'Assumptions'!$B$8,0)</x:f>
        <x:v>0</x:v>
      </x:c>
      <x:c r="N186" s="37" t="n">
        <x:f>N185*(1+M186)</x:f>
        <x:v>0.9745582896912204</x:v>
      </x:c>
      <x:c r="O186" s="36" t="n">
        <x:f>H186</x:f>
        <x:v>0.0223470271240227</x:v>
      </x:c>
      <x:c r="P186" s="37" t="n">
        <x:f>P185*(1+O186)</x:f>
        <x:v>1.0657771689603994</x:v>
      </x:c>
      <x:c r="Q186" s="34" t="n">
        <x:f>MAX(Q185,N186)</x:f>
        <x:v>1.102391214096513</x:v>
      </x:c>
      <x:c r="R186" s="38" t="n">
        <x:f>N186/Q186-1</x:f>
        <x:v>-0.11595967272839769</x:v>
      </x:c>
      <x:c r="S186" s="39" t="n">
        <x:f>MAX(S185,P186)</x:f>
        <x:v>1.2117435874944003</x:v>
      </x:c>
      <x:c r="T186" s="38" t="n">
        <x:f>P186/S186-1</x:f>
        <x:v>-0.12045982338212735</x:v>
      </x:c>
      <x:c r="U186" s="33" t="n">
        <x:f>IF(AND(L186=1,L185=0),1,0)</x:f>
        <x:v>0</x:v>
      </x:c>
      <x:c r="V186" s="33" t="n">
        <x:f>IF(AND(L186=0,L185=1),1,0)</x:f>
        <x:v>0</x:v>
      </x:c>
      <x:c r="W186" s="33" t="n">
        <x:f>IF(L186=K185,0,1)</x:f>
        <x:v>0</x:v>
      </x:c>
    </x:row>
    <x:row r="187">
      <x:c r="A187" s="29" t="n">
        <x:v>46121.5625</x:v>
      </x:c>
      <x:c r="B187" s="30" t="n">
        <x:v>181.83999633789062</x:v>
      </x:c>
      <x:c r="C187" s="30" t="n">
        <x:v>184.0800018310547</x:v>
      </x:c>
      <x:c r="D187" s="30" t="n">
        <x:v>180.6199951171875</x:v>
      </x:c>
      <x:c r="E187" s="30" t="n">
        <x:v>183.91000366210938</x:v>
      </x:c>
      <x:c r="F187" s="30" t="n">
        <x:v>183.69590759277344</x:v>
      </x:c>
      <x:c r="G187" s="31" t="n">
        <x:v>116428500</x:v>
      </x:c>
      <x:c r="H187" s="32" t="n">
        <x:f>F187/F186-1</x:f>
        <x:v>0.010050504643715596</x:v>
      </x:c>
      <x:c r="I187" s="35" t="n">
        <x:f>AVERAGE(F168:F187)</x:f>
        <x:v>176.93977737426758</x:v>
      </x:c>
      <x:c r="J187" s="35" t="n">
        <x:f>AVERAGE(F138:F187)</x:f>
        <x:v>181.91775451660158</x:v>
      </x:c>
      <x:c r="K187" s="33" t="n">
        <x:f>IF(COUNT(I187:J187)=2,IF(I187&gt;J187,1,0),0)</x:f>
        <x:v>0</x:v>
      </x:c>
      <x:c r="L187" s="33" t="n">
        <x:f>K186</x:f>
        <x:v>0</x:v>
      </x:c>
      <x:c r="M187" s="36" t="n">
        <x:f>L187*H187-IF(L187&lt;&gt;L186,'Assumptions'!$B$7+'Assumptions'!$B$8,0)</x:f>
        <x:v>0</x:v>
      </x:c>
      <x:c r="N187" s="37" t="n">
        <x:f>N186*(1+M187)</x:f>
        <x:v>0.9745582896912204</x:v>
      </x:c>
      <x:c r="O187" s="36" t="n">
        <x:f>H187</x:f>
        <x:v>0.010050504643715596</x:v>
      </x:c>
      <x:c r="P187" s="37" t="n">
        <x:f>P186*(1+O187)</x:f>
        <x:v>1.076488767346202</x:v>
      </x:c>
      <x:c r="Q187" s="34" t="n">
        <x:f>MAX(Q186,N187)</x:f>
        <x:v>1.102391214096513</x:v>
      </x:c>
      <x:c r="R187" s="38" t="n">
        <x:f>N187/Q187-1</x:f>
        <x:v>-0.11595967272839769</x:v>
      </x:c>
      <x:c r="S187" s="39" t="n">
        <x:f>MAX(S186,P187)</x:f>
        <x:v>1.2117435874944003</x:v>
      </x:c>
      <x:c r="T187" s="38" t="n">
        <x:f>P187/S187-1</x:f>
        <x:v>-0.11162000075269496</x:v>
      </x:c>
      <x:c r="U187" s="33" t="n">
        <x:f>IF(AND(L187=1,L186=0),1,0)</x:f>
        <x:v>0</x:v>
      </x:c>
      <x:c r="V187" s="33" t="n">
        <x:f>IF(AND(L187=0,L186=1),1,0)</x:f>
        <x:v>0</x:v>
      </x:c>
      <x:c r="W187" s="33" t="n">
        <x:f>IF(L187=K186,0,1)</x:f>
        <x:v>0</x:v>
      </x:c>
    </x:row>
    <x:row r="188">
      <x:c r="A188" s="29" t="n">
        <x:v>46122.5625</x:v>
      </x:c>
      <x:c r="B188" s="30" t="n">
        <x:v>184.30999755859375</x:v>
      </x:c>
      <x:c r="C188" s="30" t="n">
        <x:v>190</x:v>
      </x:c>
      <x:c r="D188" s="30" t="n">
        <x:v>184.3000030517578</x:v>
      </x:c>
      <x:c r="E188" s="30" t="n">
        <x:v>188.6300048828125</x:v>
      </x:c>
      <x:c r="F188" s="30" t="n">
        <x:v>188.41041564941406</x:v>
      </x:c>
      <x:c r="G188" s="31" t="n">
        <x:v>160459500</x:v>
      </x:c>
      <x:c r="H188" s="32" t="n">
        <x:f>F188/F187-1</x:f>
        <x:v>0.025664741901011645</x:v>
      </x:c>
      <x:c r="I188" s="35" t="n">
        <x:f>AVERAGE(F169:F188)</x:f>
        <x:v>177.2139579772949</x:v>
      </x:c>
      <x:c r="J188" s="35" t="n">
        <x:f>AVERAGE(F139:F188)</x:f>
        <x:v>181.86022888183595</x:v>
      </x:c>
      <x:c r="K188" s="33" t="n">
        <x:f>IF(COUNT(I188:J188)=2,IF(I188&gt;J188,1,0),0)</x:f>
        <x:v>0</x:v>
      </x:c>
      <x:c r="L188" s="33" t="n">
        <x:f>K187</x:f>
        <x:v>0</x:v>
      </x:c>
      <x:c r="M188" s="36" t="n">
        <x:f>L188*H188-IF(L188&lt;&gt;L187,'Assumptions'!$B$7+'Assumptions'!$B$8,0)</x:f>
        <x:v>0</x:v>
      </x:c>
      <x:c r="N188" s="37" t="n">
        <x:f>N187*(1+M188)</x:f>
        <x:v>0.9745582896912204</x:v>
      </x:c>
      <x:c r="O188" s="36" t="n">
        <x:f>H188</x:f>
        <x:v>0.025664741901011645</x:v>
      </x:c>
      <x:c r="P188" s="37" t="n">
        <x:f>P187*(1+O188)</x:f>
        <x:v>1.1041165737194805</x:v>
      </x:c>
      <x:c r="Q188" s="34" t="n">
        <x:f>MAX(Q187,N188)</x:f>
        <x:v>1.102391214096513</x:v>
      </x:c>
      <x:c r="R188" s="38" t="n">
        <x:f>N188/Q188-1</x:f>
        <x:v>-0.11595967272839769</x:v>
      </x:c>
      <x:c r="S188" s="39" t="n">
        <x:f>MAX(S187,P188)</x:f>
        <x:v>1.2117435874944003</x:v>
      </x:c>
      <x:c r="T188" s="38" t="n">
        <x:f>P188/S188-1</x:f>
        <x:v>-0.088819957361992</x:v>
      </x:c>
      <x:c r="U188" s="33" t="n">
        <x:f>IF(AND(L188=1,L187=0),1,0)</x:f>
        <x:v>0</x:v>
      </x:c>
      <x:c r="V188" s="33" t="n">
        <x:f>IF(AND(L188=0,L187=1),1,0)</x:f>
        <x:v>0</x:v>
      </x:c>
      <x:c r="W188" s="33" t="n">
        <x:f>IF(L188=K187,0,1)</x:f>
        <x:v>0</x:v>
      </x:c>
    </x:row>
    <x:row r="189">
      <x:c r="A189" s="29" t="n">
        <x:v>46125.5625</x:v>
      </x:c>
      <x:c r="B189" s="30" t="n">
        <x:v>186.02999877929688</x:v>
      </x:c>
      <x:c r="C189" s="30" t="n">
        <x:v>189.66000366210938</x:v>
      </x:c>
      <x:c r="D189" s="30" t="n">
        <x:v>185.74000549316406</x:v>
      </x:c>
      <x:c r="E189" s="30" t="n">
        <x:v>189.30999755859375</x:v>
      </x:c>
      <x:c r="F189" s="30" t="n">
        <x:v>189.08961486816406</x:v>
      </x:c>
      <x:c r="G189" s="31" t="n">
        <x:v>133648200</x:v>
      </x:c>
      <x:c r="H189" s="32" t="n">
        <x:f>F189/F188-1</x:f>
        <x:v>0.003604892099032586</x:v>
      </x:c>
      <x:c r="I189" s="35" t="n">
        <x:f>AVERAGE(F170:F189)</x:f>
        <x:v>177.6664306640625</x:v>
      </x:c>
      <x:c r="J189" s="35" t="n">
        <x:f>AVERAGE(F140:F189)</x:f>
        <x:v>181.79651153564453</x:v>
      </x:c>
      <x:c r="K189" s="33" t="n">
        <x:f>IF(COUNT(I189:J189)=2,IF(I189&gt;J189,1,0),0)</x:f>
        <x:v>0</x:v>
      </x:c>
      <x:c r="L189" s="33" t="n">
        <x:f>K188</x:f>
        <x:v>0</x:v>
      </x:c>
      <x:c r="M189" s="36" t="n">
        <x:f>L189*H189-IF(L189&lt;&gt;L188,'Assumptions'!$B$7+'Assumptions'!$B$8,0)</x:f>
        <x:v>0</x:v>
      </x:c>
      <x:c r="N189" s="37" t="n">
        <x:f>N188*(1+M189)</x:f>
        <x:v>0.9745582896912204</x:v>
      </x:c>
      <x:c r="O189" s="36" t="n">
        <x:f>H189</x:f>
        <x:v>0.003604892099032586</x:v>
      </x:c>
      <x:c r="P189" s="37" t="n">
        <x:f>P188*(1+O189)</x:f>
        <x:v>1.1080967948324927</x:v>
      </x:c>
      <x:c r="Q189" s="34" t="n">
        <x:f>MAX(Q188,N189)</x:f>
        <x:v>1.102391214096513</x:v>
      </x:c>
      <x:c r="R189" s="38" t="n">
        <x:f>N189/Q189-1</x:f>
        <x:v>-0.11595967272839769</x:v>
      </x:c>
      <x:c r="S189" s="39" t="n">
        <x:f>MAX(S188,P189)</x:f>
        <x:v>1.2117435874944003</x:v>
      </x:c>
      <x:c r="T189" s="38" t="n">
        <x:f>P189/S189-1</x:f>
        <x:v>-0.08553525162549003</x:v>
      </x:c>
      <x:c r="U189" s="33" t="n">
        <x:f>IF(AND(L189=1,L188=0),1,0)</x:f>
        <x:v>0</x:v>
      </x:c>
      <x:c r="V189" s="33" t="n">
        <x:f>IF(AND(L189=0,L188=1),1,0)</x:f>
        <x:v>0</x:v>
      </x:c>
      <x:c r="W189" s="33" t="n">
        <x:f>IF(L189=K188,0,1)</x:f>
        <x:v>0</x:v>
      </x:c>
    </x:row>
    <x:row r="190">
      <x:c r="A190" s="29" t="n">
        <x:v>46126.5625</x:v>
      </x:c>
      <x:c r="B190" s="30" t="n">
        <x:v>190.83999633789062</x:v>
      </x:c>
      <x:c r="C190" s="30" t="n">
        <x:v>196.50999450683594</x:v>
      </x:c>
      <x:c r="D190" s="30" t="n">
        <x:v>190.77000427246094</x:v>
      </x:c>
      <x:c r="E190" s="30" t="n">
        <x:v>196.50999450683594</x:v>
      </x:c>
      <x:c r="F190" s="30" t="n">
        <x:v>196.28123474121094</x:v>
      </x:c>
      <x:c r="G190" s="31" t="n">
        <x:v>161307000</x:v>
      </x:c>
      <x:c r="H190" s="32" t="n">
        <x:f>F190/F189-1</x:f>
        <x:v>0.038032865411783634</x:v>
      </x:c>
      <x:c r="I190" s="35" t="n">
        <x:f>AVERAGE(F171:F190)</x:f>
        <x:v>178.33015670776368</x:v>
      </x:c>
      <x:c r="J190" s="35" t="n">
        <x:f>AVERAGE(F141:F190)</x:f>
        <x:v>181.9041928100586</x:v>
      </x:c>
      <x:c r="K190" s="33" t="n">
        <x:f>IF(COUNT(I190:J190)=2,IF(I190&gt;J190,1,0),0)</x:f>
        <x:v>0</x:v>
      </x:c>
      <x:c r="L190" s="33" t="n">
        <x:f>K189</x:f>
        <x:v>0</x:v>
      </x:c>
      <x:c r="M190" s="36" t="n">
        <x:f>L190*H190-IF(L190&lt;&gt;L189,'Assumptions'!$B$7+'Assumptions'!$B$8,0)</x:f>
        <x:v>0</x:v>
      </x:c>
      <x:c r="N190" s="37" t="n">
        <x:f>N189*(1+M190)</x:f>
        <x:v>0.9745582896912204</x:v>
      </x:c>
      <x:c r="O190" s="36" t="n">
        <x:f>H190</x:f>
        <x:v>0.038032865411783634</x:v>
      </x:c>
      <x:c r="P190" s="37" t="n">
        <x:f>P189*(1+O190)</x:f>
        <x:v>1.1502408910935857</x:v>
      </x:c>
      <x:c r="Q190" s="34" t="n">
        <x:f>MAX(Q189,N190)</x:f>
        <x:v>1.102391214096513</x:v>
      </x:c>
      <x:c r="R190" s="38" t="n">
        <x:f>N190/Q190-1</x:f>
        <x:v>-0.11595967272839769</x:v>
      </x:c>
      <x:c r="S190" s="39" t="n">
        <x:f>MAX(S189,P190)</x:f>
        <x:v>1.2117435874944003</x:v>
      </x:c>
      <x:c r="T190" s="38" t="n">
        <x:f>P190/S190-1</x:f>
        <x:v>-0.05075553692674173</x:v>
      </x:c>
      <x:c r="U190" s="33" t="n">
        <x:f>IF(AND(L190=1,L189=0),1,0)</x:f>
        <x:v>0</x:v>
      </x:c>
      <x:c r="V190" s="33" t="n">
        <x:f>IF(AND(L190=0,L189=1),1,0)</x:f>
        <x:v>0</x:v>
      </x:c>
      <x:c r="W190" s="33" t="n">
        <x:f>IF(L190=K189,0,1)</x:f>
        <x:v>0</x:v>
      </x:c>
    </x:row>
    <x:row r="191">
      <x:c r="A191" s="29" t="n">
        <x:v>46127.5625</x:v>
      </x:c>
      <x:c r="B191" s="30" t="n">
        <x:v>196.5399932861328</x:v>
      </x:c>
      <x:c r="C191" s="30" t="n">
        <x:v>200.39999389648438</x:v>
      </x:c>
      <x:c r="D191" s="30" t="n">
        <x:v>195.74000549316406</x:v>
      </x:c>
      <x:c r="E191" s="30" t="n">
        <x:v>198.8699951171875</x:v>
      </x:c>
      <x:c r="F191" s="30" t="n">
        <x:v>198.63848876953125</x:v>
      </x:c>
      <x:c r="G191" s="31" t="n">
        <x:v>185338400</x:v>
      </x:c>
      <x:c r="H191" s="32" t="n">
        <x:f>F191/F190-1</x:f>
        <x:v>0.01200957407583192</x:v>
      </x:c>
      <x:c r="I191" s="35" t="n">
        <x:f>AVERAGE(F172:F191)</x:f>
        <x:v>179.17617111206056</x:v>
      </x:c>
      <x:c r="J191" s="35" t="n">
        <x:f>AVERAGE(F142:F191)</x:f>
        <x:v>182.16928466796875</x:v>
      </x:c>
      <x:c r="K191" s="33" t="n">
        <x:f>IF(COUNT(I191:J191)=2,IF(I191&gt;J191,1,0),0)</x:f>
        <x:v>0</x:v>
      </x:c>
      <x:c r="L191" s="33" t="n">
        <x:f>K190</x:f>
        <x:v>0</x:v>
      </x:c>
      <x:c r="M191" s="36" t="n">
        <x:f>L191*H191-IF(L191&lt;&gt;L190,'Assumptions'!$B$7+'Assumptions'!$B$8,0)</x:f>
        <x:v>0</x:v>
      </x:c>
      <x:c r="N191" s="37" t="n">
        <x:f>N190*(1+M191)</x:f>
        <x:v>0.9745582896912204</x:v>
      </x:c>
      <x:c r="O191" s="36" t="n">
        <x:f>H191</x:f>
        <x:v>0.01200957407583192</x:v>
      </x:c>
      <x:c r="P191" s="37" t="n">
        <x:f>P190*(1+O191)</x:f>
        <x:v>1.164054794280225</x:v>
      </x:c>
      <x:c r="Q191" s="34" t="n">
        <x:f>MAX(Q190,N191)</x:f>
        <x:v>1.102391214096513</x:v>
      </x:c>
      <x:c r="R191" s="38" t="n">
        <x:f>N191/Q191-1</x:f>
        <x:v>-0.11595967272839769</x:v>
      </x:c>
      <x:c r="S191" s="39" t="n">
        <x:f>MAX(S190,P191)</x:f>
        <x:v>1.2117435874944003</x:v>
      </x:c>
      <x:c r="T191" s="38" t="n">
        <x:f>P191/S191-1</x:f>
        <x:v>-0.03935551523139014</x:v>
      </x:c>
      <x:c r="U191" s="33" t="n">
        <x:f>IF(AND(L191=1,L190=0),1,0)</x:f>
        <x:v>0</x:v>
      </x:c>
      <x:c r="V191" s="33" t="n">
        <x:f>IF(AND(L191=0,L190=1),1,0)</x:f>
        <x:v>0</x:v>
      </x:c>
      <x:c r="W191" s="33" t="n">
        <x:f>IF(L191=K190,0,1)</x:f>
        <x:v>0</x:v>
      </x:c>
    </x:row>
    <x:row r="192">
      <x:c r="A192" s="29" t="n">
        <x:v>46128.5625</x:v>
      </x:c>
      <x:c r="B192" s="30" t="n">
        <x:v>197.42999267578125</x:v>
      </x:c>
      <x:c r="C192" s="30" t="n">
        <x:v>199.85000610351562</x:v>
      </x:c>
      <x:c r="D192" s="30" t="n">
        <x:v>195.80999755859375</x:v>
      </x:c>
      <x:c r="E192" s="30" t="n">
        <x:v>198.35000610351562</x:v>
      </x:c>
      <x:c r="F192" s="30" t="n">
        <x:v>198.1190948486328</x:v>
      </x:c>
      <x:c r="G192" s="31" t="n">
        <x:v>134012900</x:v>
      </x:c>
      <x:c r="H192" s="32" t="n">
        <x:f>F192/F191-1</x:f>
        <x:v>-0.002614769796708716</x:v>
      </x:c>
      <x:c r="I192" s="35" t="n">
        <x:f>AVERAGE(F173:F192)</x:f>
        <x:v>180.07262649536133</x:v>
      </x:c>
      <x:c r="J192" s="35" t="n">
        <x:f>AVERAGE(F143:F192)</x:f>
        <x:v>182.52926055908202</x:v>
      </x:c>
      <x:c r="K192" s="33" t="n">
        <x:f>IF(COUNT(I192:J192)=2,IF(I192&gt;J192,1,0),0)</x:f>
        <x:v>0</x:v>
      </x:c>
      <x:c r="L192" s="33" t="n">
        <x:f>K191</x:f>
        <x:v>0</x:v>
      </x:c>
      <x:c r="M192" s="36" t="n">
        <x:f>L192*H192-IF(L192&lt;&gt;L191,'Assumptions'!$B$7+'Assumptions'!$B$8,0)</x:f>
        <x:v>0</x:v>
      </x:c>
      <x:c r="N192" s="37" t="n">
        <x:f>N191*(1+M192)</x:f>
        <x:v>0.9745582896912204</x:v>
      </x:c>
      <x:c r="O192" s="36" t="n">
        <x:f>H192</x:f>
        <x:v>-0.002614769796708716</x:v>
      </x:c>
      <x:c r="P192" s="37" t="n">
        <x:f>P191*(1+O192)</x:f>
        <x:v>1.1610110589624272</x:v>
      </x:c>
      <x:c r="Q192" s="34" t="n">
        <x:f>MAX(Q191,N192)</x:f>
        <x:v>1.102391214096513</x:v>
      </x:c>
      <x:c r="R192" s="38" t="n">
        <x:f>N192/Q192-1</x:f>
        <x:v>-0.11595967272839769</x:v>
      </x:c>
      <x:c r="S192" s="39" t="n">
        <x:f>MAX(S191,P192)</x:f>
        <x:v>1.2117435874944003</x:v>
      </x:c>
      <x:c r="T192" s="38" t="n">
        <x:f>P192/S192-1</x:f>
        <x:v>-0.041867379415537864</x:v>
      </x:c>
      <x:c r="U192" s="33" t="n">
        <x:f>IF(AND(L192=1,L191=0),1,0)</x:f>
        <x:v>0</x:v>
      </x:c>
      <x:c r="V192" s="33" t="n">
        <x:f>IF(AND(L192=0,L191=1),1,0)</x:f>
        <x:v>0</x:v>
      </x:c>
      <x:c r="W192" s="33" t="n">
        <x:f>IF(L192=K191,0,1)</x:f>
        <x:v>0</x:v>
      </x:c>
    </x:row>
    <x:row r="193">
      <x:c r="A193" s="29" t="n">
        <x:v>46129.5625</x:v>
      </x:c>
      <x:c r="B193" s="30" t="n">
        <x:v>199.89999389648438</x:v>
      </x:c>
      <x:c r="C193" s="30" t="n">
        <x:v>201.6999969482422</x:v>
      </x:c>
      <x:c r="D193" s="30" t="n">
        <x:v>199.27000427246094</x:v>
      </x:c>
      <x:c r="E193" s="30" t="n">
        <x:v>201.67999267578125</x:v>
      </x:c>
      <x:c r="F193" s="30" t="n">
        <x:v>201.44520568847656</x:v>
      </x:c>
      <x:c r="G193" s="31" t="n">
        <x:v>160324400</x:v>
      </x:c>
      <x:c r="H193" s="32" t="n">
        <x:f>F193/F192-1</x:f>
        <x:v>0.016788441530004805</x:v>
      </x:c>
      <x:c r="I193" s="35" t="n">
        <x:f>AVERAGE(F174:F193)</x:f>
        <x:v>181.2272804260254</x:v>
      </x:c>
      <x:c r="J193" s="35" t="n">
        <x:f>AVERAGE(F144:F193)</x:f>
        <x:v>183.07860870361327</x:v>
      </x:c>
      <x:c r="K193" s="33" t="n">
        <x:f>IF(COUNT(I193:J193)=2,IF(I193&gt;J193,1,0),0)</x:f>
        <x:v>0</x:v>
      </x:c>
      <x:c r="L193" s="33" t="n">
        <x:f>K192</x:f>
        <x:v>0</x:v>
      </x:c>
      <x:c r="M193" s="36" t="n">
        <x:f>L193*H193-IF(L193&lt;&gt;L192,'Assumptions'!$B$7+'Assumptions'!$B$8,0)</x:f>
        <x:v>0</x:v>
      </x:c>
      <x:c r="N193" s="37" t="n">
        <x:f>N192*(1+M193)</x:f>
        <x:v>0.9745582896912204</x:v>
      </x:c>
      <x:c r="O193" s="36" t="n">
        <x:f>H193</x:f>
        <x:v>0.016788441530004805</x:v>
      </x:c>
      <x:c r="P193" s="37" t="n">
        <x:f>P192*(1+O193)</x:f>
        <x:v>1.180502625241507</x:v>
      </x:c>
      <x:c r="Q193" s="34" t="n">
        <x:f>MAX(Q192,N193)</x:f>
        <x:v>1.102391214096513</x:v>
      </x:c>
      <x:c r="R193" s="38" t="n">
        <x:f>N193/Q193-1</x:f>
        <x:v>-0.11595967272839769</x:v>
      </x:c>
      <x:c r="S193" s="39" t="n">
        <x:f>MAX(S192,P193)</x:f>
        <x:v>1.2117435874944003</x:v>
      </x:c>
      <x:c r="T193" s="38" t="n">
        <x:f>P193/S193-1</x:f>
        <x:v>-0.025781825936865288</x:v>
      </x:c>
      <x:c r="U193" s="33" t="n">
        <x:f>IF(AND(L193=1,L192=0),1,0)</x:f>
        <x:v>0</x:v>
      </x:c>
      <x:c r="V193" s="33" t="n">
        <x:f>IF(AND(L193=0,L192=1),1,0)</x:f>
        <x:v>0</x:v>
      </x:c>
      <x:c r="W193" s="33" t="n">
        <x:f>IF(L193=K192,0,1)</x:f>
        <x:v>0</x:v>
      </x:c>
    </x:row>
    <x:row r="194">
      <x:c r="A194" s="29" t="n">
        <x:v>46132.5625</x:v>
      </x:c>
      <x:c r="B194" s="30" t="n">
        <x:v>199.97999572753906</x:v>
      </x:c>
      <x:c r="C194" s="30" t="n">
        <x:v>202.1699981689453</x:v>
      </x:c>
      <x:c r="D194" s="30" t="n">
        <x:v>197.83999633789062</x:v>
      </x:c>
      <x:c r="E194" s="30" t="n">
        <x:v>202.05999755859375</x:v>
      </x:c>
      <x:c r="F194" s="30" t="n">
        <x:v>201.82476806640625</x:v>
      </x:c>
      <x:c r="G194" s="31" t="n">
        <x:v>119381400</x:v>
      </x:c>
      <x:c r="H194" s="32" t="n">
        <x:f>F194/F193-1</x:f>
        <x:v>0.00188419663120043</x:v>
      </x:c>
      <x:c r="I194" s="35" t="n">
        <x:f>AVERAGE(F175:F194)</x:f>
        <x:v>182.69357147216797</x:v>
      </x:c>
      <x:c r="J194" s="35" t="n">
        <x:f>AVERAGE(F145:F194)</x:f>
        <x:v>183.68169189453124</x:v>
      </x:c>
      <x:c r="K194" s="33" t="n">
        <x:f>IF(COUNT(I194:J194)=2,IF(I194&gt;J194,1,0),0)</x:f>
        <x:v>0</x:v>
      </x:c>
      <x:c r="L194" s="33" t="n">
        <x:f>K193</x:f>
        <x:v>0</x:v>
      </x:c>
      <x:c r="M194" s="36" t="n">
        <x:f>L194*H194-IF(L194&lt;&gt;L193,'Assumptions'!$B$7+'Assumptions'!$B$8,0)</x:f>
        <x:v>0</x:v>
      </x:c>
      <x:c r="N194" s="37" t="n">
        <x:f>N193*(1+M194)</x:f>
        <x:v>0.9745582896912204</x:v>
      </x:c>
      <x:c r="O194" s="36" t="n">
        <x:f>H194</x:f>
        <x:v>0.00188419663120043</x:v>
      </x:c>
      <x:c r="P194" s="37" t="n">
        <x:f>P193*(1+O194)</x:f>
        <x:v>1.1827269243111103</x:v>
      </x:c>
      <x:c r="Q194" s="34" t="n">
        <x:f>MAX(Q193,N194)</x:f>
        <x:v>1.102391214096513</x:v>
      </x:c>
      <x:c r="R194" s="38" t="n">
        <x:f>N194/Q194-1</x:f>
        <x:v>-0.11595967272839769</x:v>
      </x:c>
      <x:c r="S194" s="39" t="n">
        <x:f>MAX(S193,P194)</x:f>
        <x:v>1.2117435874944003</x:v>
      </x:c>
      <x:c r="T194" s="38" t="n">
        <x:f>P194/S194-1</x:f>
        <x:v>-0.023946207335241332</x:v>
      </x:c>
      <x:c r="U194" s="33" t="n">
        <x:f>IF(AND(L194=1,L193=0),1,0)</x:f>
        <x:v>0</x:v>
      </x:c>
      <x:c r="V194" s="33" t="n">
        <x:f>IF(AND(L194=0,L193=1),1,0)</x:f>
        <x:v>0</x:v>
      </x:c>
      <x:c r="W194" s="33" t="n">
        <x:f>IF(L194=K193,0,1)</x:f>
        <x:v>0</x:v>
      </x:c>
    </x:row>
    <x:row r="195">
      <x:c r="A195" s="29" t="n">
        <x:v>46133.5625</x:v>
      </x:c>
      <x:c r="B195" s="30" t="n">
        <x:v>202.1300048828125</x:v>
      </x:c>
      <x:c r="C195" s="30" t="n">
        <x:v>202.75</x:v>
      </x:c>
      <x:c r="D195" s="30" t="n">
        <x:v>199</x:v>
      </x:c>
      <x:c r="E195" s="30" t="n">
        <x:v>199.8800048828125</x:v>
      </x:c>
      <x:c r="F195" s="30" t="n">
        <x:v>199.64732360839844</x:v>
      </x:c>
      <x:c r="G195" s="31" t="n">
        <x:v>107945300</x:v>
      </x:c>
      <x:c r="H195" s="32" t="n">
        <x:f>F195/F194-1</x:f>
        <x:v>-0.010788787118989118</x:v>
      </x:c>
      <x:c r="I195" s="35" t="n">
        <x:f>AVERAGE(F176:F195)</x:f>
        <x:v>183.90416107177734</x:v>
      </x:c>
      <x:c r="J195" s="35" t="n">
        <x:f>AVERAGE(F146:F195)</x:f>
        <x:v>183.97095581054688</x:v>
      </x:c>
      <x:c r="K195" s="33" t="n">
        <x:f>IF(COUNT(I195:J195)=2,IF(I195&gt;J195,1,0),0)</x:f>
        <x:v>0</x:v>
      </x:c>
      <x:c r="L195" s="33" t="n">
        <x:f>K194</x:f>
        <x:v>0</x:v>
      </x:c>
      <x:c r="M195" s="36" t="n">
        <x:f>L195*H195-IF(L195&lt;&gt;L194,'Assumptions'!$B$7+'Assumptions'!$B$8,0)</x:f>
        <x:v>0</x:v>
      </x:c>
      <x:c r="N195" s="37" t="n">
        <x:f>N194*(1+M195)</x:f>
        <x:v>0.9745582896912204</x:v>
      </x:c>
      <x:c r="O195" s="36" t="n">
        <x:f>H195</x:f>
        <x:v>-0.010788787118989118</x:v>
      </x:c>
      <x:c r="P195" s="37" t="n">
        <x:f>P194*(1+O195)</x:f>
        <x:v>1.1699667353048209</x:v>
      </x:c>
      <x:c r="Q195" s="34" t="n">
        <x:f>MAX(Q194,N195)</x:f>
        <x:v>1.102391214096513</x:v>
      </x:c>
      <x:c r="R195" s="38" t="n">
        <x:f>N195/Q195-1</x:f>
        <x:v>-0.11595967272839769</x:v>
      </x:c>
      <x:c r="S195" s="39" t="n">
        <x:f>MAX(S194,P195)</x:f>
        <x:v>1.2117435874944003</x:v>
      </x:c>
      <x:c r="T195" s="38" t="n">
        <x:f>P195/S195-1</x:f>
        <x:v>-0.034476643920983374</x:v>
      </x:c>
      <x:c r="U195" s="33" t="n">
        <x:f>IF(AND(L195=1,L194=0),1,0)</x:f>
        <x:v>0</x:v>
      </x:c>
      <x:c r="V195" s="33" t="n">
        <x:f>IF(AND(L195=0,L194=1),1,0)</x:f>
        <x:v>0</x:v>
      </x:c>
      <x:c r="W195" s="33" t="n">
        <x:f>IF(L195=K194,0,1)</x:f>
        <x:v>0</x:v>
      </x:c>
    </x:row>
    <x:row r="196">
      <x:c r="A196" s="29" t="n">
        <x:v>46134.5625</x:v>
      </x:c>
      <x:c r="B196" s="30" t="n">
        <x:v>200.99000549316406</x:v>
      </x:c>
      <x:c r="C196" s="30" t="n">
        <x:v>202.5</x:v>
      </x:c>
      <x:c r="D196" s="30" t="n">
        <x:v>199</x:v>
      </x:c>
      <x:c r="E196" s="30" t="n">
        <x:v>202.5</x:v>
      </x:c>
      <x:c r="F196" s="30" t="n">
        <x:v>202.26426696777344</x:v>
      </x:c>
      <x:c r="G196" s="31" t="n">
        <x:v>107501000</x:v>
      </x:c>
      <x:c r="H196" s="32" t="n">
        <x:f>F196/F195-1</x:f>
        <x:v>0.013107830909409257</x:v>
      </x:c>
      <x:c r="I196" s="35" t="n">
        <x:f>AVERAGE(F177:F196)</x:f>
        <x:v>185.26757278442383</x:v>
      </x:c>
      <x:c r="J196" s="35" t="n">
        <x:f>AVERAGE(F147:F196)</x:f>
        <x:v>184.2200714111328</x:v>
      </x:c>
      <x:c r="K196" s="33" t="n">
        <x:f>IF(COUNT(I196:J196)=2,IF(I196&gt;J196,1,0),0)</x:f>
        <x:v>1</x:v>
      </x:c>
      <x:c r="L196" s="33" t="n">
        <x:f>K195</x:f>
        <x:v>0</x:v>
      </x:c>
      <x:c r="M196" s="36" t="n">
        <x:f>L196*H196-IF(L196&lt;&gt;L195,'Assumptions'!$B$7+'Assumptions'!$B$8,0)</x:f>
        <x:v>0</x:v>
      </x:c>
      <x:c r="N196" s="37" t="n">
        <x:f>N195*(1+M196)</x:f>
        <x:v>0.9745582896912204</x:v>
      </x:c>
      <x:c r="O196" s="36" t="n">
        <x:f>H196</x:f>
        <x:v>0.013107830909409257</x:v>
      </x:c>
      <x:c r="P196" s="37" t="n">
        <x:f>P195*(1+O196)</x:f>
        <x:v>1.18530246144083</x:v>
      </x:c>
      <x:c r="Q196" s="34" t="n">
        <x:f>MAX(Q195,N196)</x:f>
        <x:v>1.102391214096513</x:v>
      </x:c>
      <x:c r="R196" s="38" t="n">
        <x:f>N196/Q196-1</x:f>
        <x:v>-0.11595967272839769</x:v>
      </x:c>
      <x:c r="S196" s="39" t="n">
        <x:f>MAX(S195,P196)</x:f>
        <x:v>1.2117435874944003</x:v>
      </x:c>
      <x:c r="T196" s="38" t="n">
        <x:f>P196/S196-1</x:f>
        <x:v>-0.021820727030414266</x:v>
      </x:c>
      <x:c r="U196" s="33" t="n">
        <x:f>IF(AND(L196=1,L195=0),1,0)</x:f>
        <x:v>0</x:v>
      </x:c>
      <x:c r="V196" s="33" t="n">
        <x:f>IF(AND(L196=0,L195=1),1,0)</x:f>
        <x:v>0</x:v>
      </x:c>
      <x:c r="W196" s="33" t="n">
        <x:f>IF(L196=K195,0,1)</x:f>
        <x:v>0</x:v>
      </x:c>
    </x:row>
    <x:row r="197">
      <x:c r="A197" s="29" t="n">
        <x:v>46135.5625</x:v>
      </x:c>
      <x:c r="B197" s="30" t="n">
        <x:v>202.4600067138672</x:v>
      </x:c>
      <x:c r="C197" s="30" t="n">
        <x:v>203.8300018310547</x:v>
      </x:c>
      <x:c r="D197" s="30" t="n">
        <x:v>197.22000122070312</x:v>
      </x:c>
      <x:c r="E197" s="30" t="n">
        <x:v>199.63999938964844</x:v>
      </x:c>
      <x:c r="F197" s="30" t="n">
        <x:v>199.4075927734375</x:v>
      </x:c>
      <x:c r="G197" s="31" t="n">
        <x:v>113561800</x:v>
      </x:c>
      <x:c r="H197" s="32" t="n">
        <x:f>F197/F196-1</x:f>
        <x:v>-0.014123474389033275</x:v>
      </x:c>
      <x:c r="I197" s="35" t="n">
        <x:f>AVERAGE(F178:F197)</x:f>
        <x:v>186.31435317993163</x:v>
      </x:c>
      <x:c r="J197" s="35" t="n">
        <x:f>AVERAGE(F148:F197)</x:f>
        <x:v>184.44201690673827</x:v>
      </x:c>
      <x:c r="K197" s="33" t="n">
        <x:f>IF(COUNT(I197:J197)=2,IF(I197&gt;J197,1,0),0)</x:f>
        <x:v>1</x:v>
      </x:c>
      <x:c r="L197" s="33" t="n">
        <x:f>K196</x:f>
        <x:v>1</x:v>
      </x:c>
      <x:c r="M197" s="36" t="n">
        <x:f>L197*H197-IF(L197&lt;&gt;L196,'Assumptions'!$B$7+'Assumptions'!$B$8,0)</x:f>
        <x:v>-0.015123474389033276</x:v>
      </x:c>
      <x:c r="N197" s="37" t="n">
        <x:f>N196*(1+M197)</x:f>
        <x:v>0.9598195823564551</x:v>
      </x:c>
      <x:c r="O197" s="36" t="n">
        <x:f>H197</x:f>
        <x:v>-0.014123474389033275</x:v>
      </x:c>
      <x:c r="P197" s="37" t="n">
        <x:f>P196*(1+O197)</x:f>
        <x:v>1.1685618724834124</x:v>
      </x:c>
      <x:c r="Q197" s="34" t="n">
        <x:f>MAX(Q196,N197)</x:f>
        <x:v>1.102391214096513</x:v>
      </x:c>
      <x:c r="R197" s="38" t="n">
        <x:f>N197/Q197-1</x:f>
        <x:v>-0.12932943397676244</x:v>
      </x:c>
      <x:c r="S197" s="39" t="n">
        <x:f>MAX(S196,P197)</x:f>
        <x:v>1.2117435874944003</x:v>
      </x:c>
      <x:c r="T197" s="38" t="n">
        <x:f>P197/S197-1</x:f>
        <x:v>-0.03563601694008345</x:v>
      </x:c>
      <x:c r="U197" s="33" t="n">
        <x:f>IF(AND(L197=1,L196=0),1,0)</x:f>
        <x:v>1</x:v>
      </x:c>
      <x:c r="V197" s="33" t="n">
        <x:f>IF(AND(L197=0,L196=1),1,0)</x:f>
        <x:v>0</x:v>
      </x:c>
      <x:c r="W197" s="33" t="n">
        <x:f>IF(L197=K196,0,1)</x:f>
        <x:v>0</x:v>
      </x:c>
    </x:row>
    <x:row r="198">
      <x:c r="A198" s="29" t="n">
        <x:v>46136.5625</x:v>
      </x:c>
      <x:c r="B198" s="30" t="n">
        <x:v>199.9600067138672</x:v>
      </x:c>
      <x:c r="C198" s="30" t="n">
        <x:v>210.9499969482422</x:v>
      </x:c>
      <x:c r="D198" s="30" t="n">
        <x:v>199.80999755859375</x:v>
      </x:c>
      <x:c r="E198" s="30" t="n">
        <x:v>208.27000427246094</x:v>
      </x:c>
      <x:c r="F198" s="30" t="n">
        <x:v>208.0275421142578</x:v>
      </x:c>
      <x:c r="G198" s="31" t="n">
        <x:v>214134400</x:v>
      </x:c>
      <x:c r="H198" s="32" t="n">
        <x:f>F198/F197-1</x:f>
        <x:v>0.043227788976992976</x:v>
      </x:c>
      <x:c r="I198" s="35" t="n">
        <x:f>AVERAGE(F179:F198)</x:f>
        <x:v>188.16369705200196</x:v>
      </x:c>
      <x:c r="J198" s="35" t="n">
        <x:f>AVERAGE(F149:F198)</x:f>
        <x:v>184.8061981201172</x:v>
      </x:c>
      <x:c r="K198" s="33" t="n">
        <x:f>IF(COUNT(I198:J198)=2,IF(I198&gt;J198,1,0),0)</x:f>
        <x:v>1</x:v>
      </x:c>
      <x:c r="L198" s="33" t="n">
        <x:f>K197</x:f>
        <x:v>1</x:v>
      </x:c>
      <x:c r="M198" s="36" t="n">
        <x:f>L198*H198-IF(L198&lt;&gt;L197,'Assumptions'!$B$7+'Assumptions'!$B$8,0)</x:f>
        <x:v>0.043227788976992976</x:v>
      </x:c>
      <x:c r="N198" s="37" t="n">
        <x:f>N197*(1+M198)</x:f>
        <x:v>1.0013104607185455</x:v>
      </x:c>
      <x:c r="O198" s="36" t="n">
        <x:f>H198</x:f>
        <x:v>0.043227788976992976</x:v>
      </x:c>
      <x:c r="P198" s="37" t="n">
        <x:f>P197*(1+O198)</x:f>
        <x:v>1.2190762185136852</x:v>
      </x:c>
      <x:c r="Q198" s="34" t="n">
        <x:f>MAX(Q197,N198)</x:f>
        <x:v>1.102391214096513</x:v>
      </x:c>
      <x:c r="R198" s="38" t="n">
        <x:f>N198/Q198-1</x:f>
        <x:v>-0.09169227048023088</x:v>
      </x:c>
      <x:c r="S198" s="39" t="n">
        <x:f>MAX(S197,P198)</x:f>
        <x:v>1.2190762185136852</x:v>
      </x:c>
      <x:c r="T198" s="38" t="n">
        <x:f>P198/S198-1</x:f>
        <x:v>0</x:v>
      </x:c>
      <x:c r="U198" s="33" t="n">
        <x:f>IF(AND(L198=1,L197=0),1,0)</x:f>
        <x:v>0</x:v>
      </x:c>
      <x:c r="V198" s="33" t="n">
        <x:f>IF(AND(L198=0,L197=1),1,0)</x:f>
        <x:v>0</x:v>
      </x:c>
      <x:c r="W198" s="33" t="n">
        <x:f>IF(L198=K197,0,1)</x:f>
        <x:v>0</x:v>
      </x:c>
    </x:row>
    <x:row r="199">
      <x:c r="A199" s="29" t="n">
        <x:v>46139.5625</x:v>
      </x:c>
      <x:c r="B199" s="30" t="n">
        <x:v>209.64999389648438</x:v>
      </x:c>
      <x:c r="C199" s="30" t="n">
        <x:v>216.8300018310547</x:v>
      </x:c>
      <x:c r="D199" s="30" t="n">
        <x:v>207.3800048828125</x:v>
      </x:c>
      <x:c r="E199" s="30" t="n">
        <x:v>216.61000061035156</x:v>
      </x:c>
      <x:c r="F199" s="30" t="n">
        <x:v>216.3578338623047</x:v>
      </x:c>
      <x:c r="G199" s="31" t="n">
        <x:v>187172400</x:v>
      </x:c>
      <x:c r="H199" s="32" t="n">
        <x:f>F199/F198-1</x:f>
        <x:v>0.04004417714781017</x:v>
      </x:c>
      <x:c r="I199" s="35" t="n">
        <x:f>AVERAGE(F180:F199)</x:f>
        <x:v>190.61533966064454</x:v>
      </x:c>
      <x:c r="J199" s="35" t="n">
        <x:f>AVERAGE(F150:F199)</x:f>
        <x:v>185.39910919189452</x:v>
      </x:c>
      <x:c r="K199" s="33" t="n">
        <x:f>IF(COUNT(I199:J199)=2,IF(I199&gt;J199,1,0),0)</x:f>
        <x:v>1</x:v>
      </x:c>
      <x:c r="L199" s="33" t="n">
        <x:f>K198</x:f>
        <x:v>1</x:v>
      </x:c>
      <x:c r="M199" s="36" t="n">
        <x:f>L199*H199-IF(L199&lt;&gt;L198,'Assumptions'!$B$7+'Assumptions'!$B$8,0)</x:f>
        <x:v>0.04004417714781017</x:v>
      </x:c>
      <x:c r="N199" s="37" t="n">
        <x:f>N198*(1+M199)</x:f>
        <x:v>1.0414071141875143</x:v>
      </x:c>
      <x:c r="O199" s="36" t="n">
        <x:f>H199</x:f>
        <x:v>0.04004417714781017</x:v>
      </x:c>
      <x:c r="P199" s="37" t="n">
        <x:f>P198*(1+O199)</x:f>
        <x:v>1.2678931225645298</x:v>
      </x:c>
      <x:c r="Q199" s="34" t="n">
        <x:f>MAX(Q198,N199)</x:f>
        <x:v>1.102391214096513</x:v>
      </x:c>
      <x:c r="R199" s="38" t="n">
        <x:f>N199/Q199-1</x:f>
        <x:v>-0.055319834854616</x:v>
      </x:c>
      <x:c r="S199" s="39" t="n">
        <x:f>MAX(S198,P199)</x:f>
        <x:v>1.2678931225645298</x:v>
      </x:c>
      <x:c r="T199" s="38" t="n">
        <x:f>P199/S199-1</x:f>
        <x:v>0</x:v>
      </x:c>
      <x:c r="U199" s="33" t="n">
        <x:f>IF(AND(L199=1,L198=0),1,0)</x:f>
        <x:v>0</x:v>
      </x:c>
      <x:c r="V199" s="33" t="n">
        <x:f>IF(AND(L199=0,L198=1),1,0)</x:f>
        <x:v>0</x:v>
      </x:c>
      <x:c r="W199" s="33" t="n">
        <x:f>IF(L199=K198,0,1)</x:f>
        <x:v>0</x:v>
      </x:c>
    </x:row>
    <x:row r="200">
      <x:c r="A200" s="29" t="n">
        <x:v>46140.5625</x:v>
      </x:c>
      <x:c r="B200" s="30" t="n">
        <x:v>209.49000549316406</x:v>
      </x:c>
      <x:c r="C200" s="30" t="n">
        <x:v>214.72999572753906</x:v>
      </x:c>
      <x:c r="D200" s="30" t="n">
        <x:v>208.1999969482422</x:v>
      </x:c>
      <x:c r="E200" s="30" t="n">
        <x:v>213.1699981689453</x:v>
      </x:c>
      <x:c r="F200" s="30" t="n">
        <x:v>212.92184448242188</x:v>
      </x:c>
      <x:c r="G200" s="31" t="n">
        <x:v>180275400</x:v>
      </x:c>
      <x:c r="H200" s="32" t="n">
        <x:f>F200/F199-1</x:f>
        <x:v>-0.01588104908680843</x:v>
      </x:c>
      <x:c r="I200" s="35" t="n">
        <x:f>AVERAGE(F181:F200)</x:f>
        <x:v>193.01254577636718</x:v>
      </x:c>
      <x:c r="J200" s="35" t="n">
        <x:f>AVERAGE(F151:F200)</x:f>
        <x:v>186.00579986572265</x:v>
      </x:c>
      <x:c r="K200" s="33" t="n">
        <x:f>IF(COUNT(I200:J200)=2,IF(I200&gt;J200,1,0),0)</x:f>
        <x:v>1</x:v>
      </x:c>
      <x:c r="L200" s="33" t="n">
        <x:f>K199</x:f>
        <x:v>1</x:v>
      </x:c>
      <x:c r="M200" s="36" t="n">
        <x:f>L200*H200-IF(L200&lt;&gt;L199,'Assumptions'!$B$7+'Assumptions'!$B$8,0)</x:f>
        <x:v>-0.01588104908680843</x:v>
      </x:c>
      <x:c r="N200" s="37" t="n">
        <x:f>N199*(1+M200)</x:f>
        <x:v>1.024868476687751</x:v>
      </x:c>
      <x:c r="O200" s="36" t="n">
        <x:f>H200</x:f>
        <x:v>-0.01588104908680843</x:v>
      </x:c>
      <x:c r="P200" s="37" t="n">
        <x:f>P199*(1+O200)</x:f>
        <x:v>1.2477576496482556</x:v>
      </x:c>
      <x:c r="Q200" s="34" t="n">
        <x:f>MAX(Q199,N200)</x:f>
        <x:v>1.102391214096513</x:v>
      </x:c>
      <x:c r="R200" s="38" t="n">
        <x:f>N200/Q200-1</x:f>
        <x:v>-0.07032234692862416</x:v>
      </x:c>
      <x:c r="S200" s="39" t="n">
        <x:f>MAX(S199,P200)</x:f>
        <x:v>1.2678931225645298</x:v>
      </x:c>
      <x:c r="T200" s="38" t="n">
        <x:f>P200/S200-1</x:f>
        <x:v>-0.01588104908680843</x:v>
      </x:c>
      <x:c r="U200" s="33" t="n">
        <x:f>IF(AND(L200=1,L199=0),1,0)</x:f>
        <x:v>0</x:v>
      </x:c>
      <x:c r="V200" s="33" t="n">
        <x:f>IF(AND(L200=0,L199=1),1,0)</x:f>
        <x:v>0</x:v>
      </x:c>
      <x:c r="W200" s="33" t="n">
        <x:f>IF(L200=K199,0,1)</x:f>
        <x:v>0</x:v>
      </x:c>
    </x:row>
    <x:row r="201">
      <x:c r="A201" s="29" t="n">
        <x:v>46141.5625</x:v>
      </x:c>
      <x:c r="B201" s="30" t="n">
        <x:v>212.6999969482422</x:v>
      </x:c>
      <x:c r="C201" s="30" t="n">
        <x:v>212.72000122070312</x:v>
      </x:c>
      <x:c r="D201" s="30" t="n">
        <x:v>207.5800018310547</x:v>
      </x:c>
      <x:c r="E201" s="30" t="n">
        <x:v>209.25</x:v>
      </x:c>
      <x:c r="F201" s="30" t="n">
        <x:v>209.00640869140625</x:v>
      </x:c>
      <x:c r="G201" s="31" t="n">
        <x:v>123711800</x:v>
      </x:c>
      <x:c r="H201" s="32" t="n">
        <x:f>F201/F200-1</x:f>
        <x:v>-0.018389075111261644</x:v>
      </x:c>
      <x:c r="I201" s="35" t="n">
        <x:f>AVERAGE(F182:F201)</x:f>
        <x:v>194.7530174255371</x:v>
      </x:c>
      <x:c r="J201" s="35" t="n">
        <x:f>AVERAGE(F152:F201)</x:f>
        <x:v>186.49103454589843</x:v>
      </x:c>
      <x:c r="K201" s="33" t="n">
        <x:f>IF(COUNT(I201:J201)=2,IF(I201&gt;J201,1,0),0)</x:f>
        <x:v>1</x:v>
      </x:c>
      <x:c r="L201" s="33" t="n">
        <x:f>K200</x:f>
        <x:v>1</x:v>
      </x:c>
      <x:c r="M201" s="36" t="n">
        <x:f>L201*H201-IF(L201&lt;&gt;L200,'Assumptions'!$B$7+'Assumptions'!$B$8,0)</x:f>
        <x:v>-0.018389075111261644</x:v>
      </x:c>
      <x:c r="N201" s="37" t="n">
        <x:f>N200*(1+M201)</x:f>
        <x:v>1.0060220932907755</x:v>
      </x:c>
      <x:c r="O201" s="36" t="n">
        <x:f>H201</x:f>
        <x:v>-0.018389075111261644</x:v>
      </x:c>
      <x:c r="P201" s="37" t="n">
        <x:f>P200*(1+O201)</x:f>
        <x:v>1.2248125405082226</x:v>
      </x:c>
      <x:c r="Q201" s="34" t="n">
        <x:f>MAX(Q200,N201)</x:f>
        <x:v>1.102391214096513</x:v>
      </x:c>
      <x:c r="R201" s="38" t="n">
        <x:f>N201/Q201-1</x:f>
        <x:v>-0.08741825912021517</x:v>
      </x:c>
      <x:c r="S201" s="39" t="n">
        <x:f>MAX(S200,P201)</x:f>
        <x:v>1.2678931225645298</x:v>
      </x:c>
      <x:c r="T201" s="38" t="n">
        <x:f>P201/S201-1</x:f>
        <x:v>-0.03397808639356714</x:v>
      </x:c>
      <x:c r="U201" s="33" t="n">
        <x:f>IF(AND(L201=1,L200=0),1,0)</x:f>
        <x:v>0</x:v>
      </x:c>
      <x:c r="V201" s="33" t="n">
        <x:f>IF(AND(L201=0,L200=1),1,0)</x:f>
        <x:v>0</x:v>
      </x:c>
      <x:c r="W201" s="33" t="n">
        <x:f>IF(L201=K200,0,1)</x:f>
        <x:v>0</x:v>
      </x:c>
    </x:row>
    <x:row r="202">
      <x:c r="A202" s="29" t="n">
        <x:v>46142.5625</x:v>
      </x:c>
      <x:c r="B202" s="30" t="n">
        <x:v>209.92999267578125</x:v>
      </x:c>
      <x:c r="C202" s="30" t="n">
        <x:v>210.3000030517578</x:v>
      </x:c>
      <x:c r="D202" s="30" t="n">
        <x:v>198.6999969482422</x:v>
      </x:c>
      <x:c r="E202" s="30" t="n">
        <x:v>199.57000732421875</x:v>
      </x:c>
      <x:c r="F202" s="30" t="n">
        <x:v>199.33767700195312</x:v>
      </x:c>
      <x:c r="G202" s="31" t="n">
        <x:v>225239200</x:v>
      </x:c>
      <x:c r="H202" s="32" t="n">
        <x:f>F202/F201-1</x:f>
        <x:v>-0.04626045560032954</x:v>
      </x:c>
      <x:c r="I202" s="35" t="n">
        <x:f>AVERAGE(F183:F202)</x:f>
        <x:v>195.94263076782227</x:v>
      </x:c>
      <x:c r="J202" s="35" t="n">
        <x:f>AVERAGE(F153:F202)</x:f>
        <x:v>186.72276824951172</x:v>
      </x:c>
      <x:c r="K202" s="33" t="n">
        <x:f>IF(COUNT(I202:J202)=2,IF(I202&gt;J202,1,0),0)</x:f>
        <x:v>1</x:v>
      </x:c>
      <x:c r="L202" s="33" t="n">
        <x:f>K201</x:f>
        <x:v>1</x:v>
      </x:c>
      <x:c r="M202" s="36" t="n">
        <x:f>L202*H202-IF(L202&lt;&gt;L201,'Assumptions'!$B$7+'Assumptions'!$B$8,0)</x:f>
        <x:v>-0.04626045560032954</x:v>
      </x:c>
      <x:c r="N202" s="37" t="n">
        <x:f>N201*(1+M202)</x:f>
        <x:v>0.959483052911147</x:v>
      </x:c>
      <x:c r="O202" s="36" t="n">
        <x:f>H202</x:f>
        <x:v>-0.04626045560032954</x:v>
      </x:c>
      <x:c r="P202" s="37" t="n">
        <x:f>P201*(1+O202)</x:f>
        <x:v>1.1681521543593152</x:v>
      </x:c>
      <x:c r="Q202" s="34" t="n">
        <x:f>MAX(Q201,N202)</x:f>
        <x:v>1.102391214096513</x:v>
      </x:c>
      <x:c r="R202" s="38" t="n">
        <x:f>N202/Q202-1</x:f>
        <x:v>-0.12963470622585593</x:v>
      </x:c>
      <x:c r="S202" s="39" t="n">
        <x:f>MAX(S201,P202)</x:f>
        <x:v>1.2678931225645298</x:v>
      </x:c>
      <x:c r="T202" s="38" t="n">
        <x:f>P202/S202-1</x:f>
        <x:v>-0.07866670023690281</x:v>
      </x:c>
      <x:c r="U202" s="33" t="n">
        <x:f>IF(AND(L202=1,L201=0),1,0)</x:f>
        <x:v>0</x:v>
      </x:c>
      <x:c r="V202" s="33" t="n">
        <x:f>IF(AND(L202=0,L201=1),1,0)</x:f>
        <x:v>0</x:v>
      </x:c>
      <x:c r="W202" s="33" t="n">
        <x:f>IF(L202=K201,0,1)</x:f>
        <x:v>0</x:v>
      </x:c>
    </x:row>
    <x:row r="203">
      <x:c r="A203" s="29" t="n">
        <x:v>46143.5625</x:v>
      </x:c>
      <x:c r="B203" s="30" t="n">
        <x:v>201.27999877929688</x:v>
      </x:c>
      <x:c r="C203" s="30" t="n">
        <x:v>203</x:v>
      </x:c>
      <x:c r="D203" s="30" t="n">
        <x:v>197.1199951171875</x:v>
      </x:c>
      <x:c r="E203" s="30" t="n">
        <x:v>198.4499969482422</x:v>
      </x:c>
      <x:c r="F203" s="30" t="n">
        <x:v>198.21897888183594</x:v>
      </x:c>
      <x:c r="G203" s="31" t="n">
        <x:v>128647000</x:v>
      </x:c>
      <x:c r="H203" s="32" t="n">
        <x:f>F203/F202-1</x:f>
        <x:v>-0.00561207563438304</x:v>
      </x:c>
      <x:c r="I203" s="35" t="n">
        <x:f>AVERAGE(F184:F203)</x:f>
        <x:v>196.99440536499023</x:v>
      </x:c>
      <x:c r="J203" s="35" t="n">
        <x:f>AVERAGE(F154:F203)</x:f>
        <x:v>186.93372589111328</x:v>
      </x:c>
      <x:c r="K203" s="33" t="n">
        <x:f>IF(COUNT(I203:J203)=2,IF(I203&gt;J203,1,0),0)</x:f>
        <x:v>1</x:v>
      </x:c>
      <x:c r="L203" s="33" t="n">
        <x:f>K202</x:f>
        <x:v>1</x:v>
      </x:c>
      <x:c r="M203" s="36" t="n">
        <x:f>L203*H203-IF(L203&lt;&gt;L202,'Assumptions'!$B$7+'Assumptions'!$B$8,0)</x:f>
        <x:v>-0.00561207563438304</x:v>
      </x:c>
      <x:c r="N203" s="37" t="n">
        <x:f>N202*(1+M203)</x:f>
        <x:v>0.9540983614483008</x:v>
      </x:c>
      <x:c r="O203" s="36" t="n">
        <x:f>H203</x:f>
        <x:v>-0.00561207563438304</x:v>
      </x:c>
      <x:c r="P203" s="37" t="n">
        <x:f>P202*(1+O203)</x:f>
        <x:v>1.1615963961165832</x:v>
      </x:c>
      <x:c r="Q203" s="34" t="n">
        <x:f>MAX(Q202,N203)</x:f>
        <x:v>1.102391214096513</x:v>
      </x:c>
      <x:c r="R203" s="38" t="n">
        <x:f>N203/Q203-1</x:f>
        <x:v>-0.1345192620840584</x:v>
      </x:c>
      <x:c r="S203" s="39" t="n">
        <x:f>MAX(S202,P203)</x:f>
        <x:v>1.2678931225645298</x:v>
      </x:c>
      <x:c r="T203" s="38" t="n">
        <x:f>P203/S203-1</x:f>
        <x:v>-0.0838372923996491</x:v>
      </x:c>
      <x:c r="U203" s="33" t="n">
        <x:f>IF(AND(L203=1,L202=0),1,0)</x:f>
        <x:v>0</x:v>
      </x:c>
      <x:c r="V203" s="33" t="n">
        <x:f>IF(AND(L203=0,L202=1),1,0)</x:f>
        <x:v>0</x:v>
      </x:c>
      <x:c r="W203" s="33" t="n">
        <x:f>IF(L203=K202,0,1)</x:f>
        <x:v>0</x:v>
      </x:c>
    </x:row>
    <x:row r="204">
      <x:c r="A204" s="29" t="n">
        <x:v>46146.5625</x:v>
      </x:c>
      <x:c r="B204" s="30" t="n">
        <x:v>199.5</x:v>
      </x:c>
      <x:c r="C204" s="30" t="n">
        <x:v>201.72999572753906</x:v>
      </x:c>
      <x:c r="D204" s="30" t="n">
        <x:v>194.74000549316406</x:v>
      </x:c>
      <x:c r="E204" s="30" t="n">
        <x:v>198.47999572753906</x:v>
      </x:c>
      <x:c r="F204" s="30" t="n">
        <x:v>198.24893188476562</x:v>
      </x:c>
      <x:c r="G204" s="31" t="n">
        <x:v>125368100</x:v>
      </x:c>
      <x:c r="H204" s="32" t="n">
        <x:f>F204/F203-1</x:f>
        <x:v>0.0001511106711307164</x:v>
      </x:c>
      <x:c r="I204" s="35" t="n">
        <x:f>AVERAGE(F185:F204)</x:f>
        <x:v>198.0351921081543</x:v>
      </x:c>
      <x:c r="J204" s="35" t="n">
        <x:f>AVERAGE(F155:F204)</x:f>
        <x:v>187.10692901611327</x:v>
      </x:c>
      <x:c r="K204" s="33" t="n">
        <x:f>IF(COUNT(I204:J204)=2,IF(I204&gt;J204,1,0),0)</x:f>
        <x:v>1</x:v>
      </x:c>
      <x:c r="L204" s="33" t="n">
        <x:f>K203</x:f>
        <x:v>1</x:v>
      </x:c>
      <x:c r="M204" s="36" t="n">
        <x:f>L204*H204-IF(L204&lt;&gt;L203,'Assumptions'!$B$7+'Assumptions'!$B$8,0)</x:f>
        <x:v>0.0001511106711307164</x:v>
      </x:c>
      <x:c r="N204" s="37" t="n">
        <x:f>N203*(1+M204)</x:f>
        <x:v>0.954242535892024</x:v>
      </x:c>
      <x:c r="O204" s="36" t="n">
        <x:f>H204</x:f>
        <x:v>0.0001511106711307164</x:v>
      </x:c>
      <x:c r="P204" s="37" t="n">
        <x:f>P203*(1+O204)</x:f>
        <x:v>1.1617719257275834</x:v>
      </x:c>
      <x:c r="Q204" s="34" t="n">
        <x:f>MAX(Q203,N204)</x:f>
        <x:v>1.102391214096513</x:v>
      </x:c>
      <x:c r="R204" s="38" t="n">
        <x:f>N204/Q204-1</x:f>
        <x:v>-0.13438847870890125</x:v>
      </x:c>
      <x:c r="S204" s="39" t="n">
        <x:f>MAX(S203,P204)</x:f>
        <x:v>1.2678931225645298</x:v>
      </x:c>
      <x:c r="T204" s="38" t="n">
        <x:f>P204/S204-1</x:f>
        <x:v>-0.08369885043803871</x:v>
      </x:c>
      <x:c r="U204" s="33" t="n">
        <x:f>IF(AND(L204=1,L203=0),1,0)</x:f>
        <x:v>0</x:v>
      </x:c>
      <x:c r="V204" s="33" t="n">
        <x:f>IF(AND(L204=0,L203=1),1,0)</x:f>
        <x:v>0</x:v>
      </x:c>
      <x:c r="W204" s="33" t="n">
        <x:f>IF(L204=K203,0,1)</x:f>
        <x:v>0</x:v>
      </x:c>
    </x:row>
    <x:row r="205">
      <x:c r="A205" s="29" t="n">
        <x:v>46147.5625</x:v>
      </x:c>
      <x:c r="B205" s="30" t="n">
        <x:v>199.3000030517578</x:v>
      </x:c>
      <x:c r="C205" s="30" t="n">
        <x:v>200.24000549316406</x:v>
      </x:c>
      <x:c r="D205" s="30" t="n">
        <x:v>196.02999877929688</x:v>
      </x:c>
      <x:c r="E205" s="30" t="n">
        <x:v>196.5</x:v>
      </x:c>
      <x:c r="F205" s="30" t="n">
        <x:v>196.271240234375</x:v>
      </x:c>
      <x:c r="G205" s="31" t="n">
        <x:v>113406600</x:v>
      </x:c>
      <x:c r="H205" s="32" t="n">
        <x:f>F205/F204-1</x:f>
        <x:v>-0.009975799776516192</x:v>
      </x:c>
      <x:c r="I205" s="35" t="n">
        <x:f>AVERAGE(F186:F205)</x:f>
        <x:v>198.95412063598633</x:v>
      </x:c>
      <x:c r="J205" s="35" t="n">
        <x:f>AVERAGE(F156:F205)</x:f>
        <x:v>187.2060205078125</x:v>
      </x:c>
      <x:c r="K205" s="33" t="n">
        <x:f>IF(COUNT(I205:J205)=2,IF(I205&gt;J205,1,0),0)</x:f>
        <x:v>1</x:v>
      </x:c>
      <x:c r="L205" s="33" t="n">
        <x:f>K204</x:f>
        <x:v>1</x:v>
      </x:c>
      <x:c r="M205" s="36" t="n">
        <x:f>L205*H205-IF(L205&lt;&gt;L204,'Assumptions'!$B$7+'Assumptions'!$B$8,0)</x:f>
        <x:v>-0.009975799776516192</x:v>
      </x:c>
      <x:c r="N205" s="37" t="n">
        <x:f>N204*(1+M205)</x:f>
        <x:v>0.9447232034157301</x:v>
      </x:c>
      <x:c r="O205" s="36" t="n">
        <x:f>H205</x:f>
        <x:v>-0.009975799776516192</x:v>
      </x:c>
      <x:c r="P205" s="37" t="n">
        <x:f>P204*(1+O205)</x:f>
        <x:v>1.1501823216105473</x:v>
      </x:c>
      <x:c r="Q205" s="34" t="n">
        <x:f>MAX(Q204,N205)</x:f>
        <x:v>1.102391214096513</x:v>
      </x:c>
      <x:c r="R205" s="38" t="n">
        <x:f>N205/Q205-1</x:f>
        <x:v>-0.14302364592954686</x:v>
      </x:c>
      <x:c r="S205" s="39" t="n">
        <x:f>MAX(S204,P205)</x:f>
        <x:v>1.2678931225645298</x:v>
      </x:c>
      <x:c r="T205" s="38" t="n">
        <x:f>P205/S205-1</x:f>
        <x:v>-0.0928396872410604</x:v>
      </x:c>
      <x:c r="U205" s="33" t="n">
        <x:f>IF(AND(L205=1,L204=0),1,0)</x:f>
        <x:v>0</x:v>
      </x:c>
      <x:c r="V205" s="33" t="n">
        <x:f>IF(AND(L205=0,L204=1),1,0)</x:f>
        <x:v>0</x:v>
      </x:c>
      <x:c r="W205" s="33" t="n">
        <x:f>IF(L205=K204,0,1)</x:f>
        <x:v>0</x:v>
      </x:c>
    </x:row>
    <x:row r="206">
      <x:c r="A206" s="29" t="n">
        <x:v>46148.5625</x:v>
      </x:c>
      <x:c r="B206" s="30" t="n">
        <x:v>199.88999938964844</x:v>
      </x:c>
      <x:c r="C206" s="30" t="n">
        <x:v>208.27000427246094</x:v>
      </x:c>
      <x:c r="D206" s="30" t="n">
        <x:v>198.61000061035156</x:v>
      </x:c>
      <x:c r="E206" s="30" t="n">
        <x:v>207.8300018310547</x:v>
      </x:c>
      <x:c r="F206" s="30" t="n">
        <x:v>207.5880584716797</x:v>
      </x:c>
      <x:c r="G206" s="31" t="n">
        <x:v>188362800</x:v>
      </x:c>
      <x:c r="H206" s="32" t="n">
        <x:f>F206/F205-1</x:f>
        <x:v>0.057659075388685865</x:v>
      </x:c>
      <x:c r="I206" s="35" t="n">
        <x:f>AVERAGE(F187:F206)</x:f>
        <x:v>200.24012145996093</x:v>
      </x:c>
      <x:c r="J206" s="35" t="n">
        <x:f>AVERAGE(F157:F206)</x:f>
        <x:v>187.50548004150392</x:v>
      </x:c>
      <x:c r="K206" s="33" t="n">
        <x:f>IF(COUNT(I206:J206)=2,IF(I206&gt;J206,1,0),0)</x:f>
        <x:v>1</x:v>
      </x:c>
      <x:c r="L206" s="33" t="n">
        <x:f>K205</x:f>
        <x:v>1</x:v>
      </x:c>
      <x:c r="M206" s="36" t="n">
        <x:f>L206*H206-IF(L206&lt;&gt;L205,'Assumptions'!$B$7+'Assumptions'!$B$8,0)</x:f>
        <x:v>0.057659075388685865</x:v>
      </x:c>
      <x:c r="N206" s="37" t="n">
        <x:f>N205*(1+M206)</x:f>
        <x:v>0.9991950698229185</x:v>
      </x:c>
      <x:c r="O206" s="36" t="n">
        <x:f>H206</x:f>
        <x:v>0.057659075388685865</x:v>
      </x:c>
      <x:c r="P206" s="37" t="n">
        <x:f>P205*(1+O206)</x:f>
        <x:v>1.2165007708030235</x:v>
      </x:c>
      <x:c r="Q206" s="34" t="n">
        <x:f>MAX(Q205,N206)</x:f>
        <x:v>1.102391214096513</x:v>
      </x:c>
      <x:c r="R206" s="38" t="n">
        <x:f>N206/Q206-1</x:f>
        <x:v>-0.0936111817238775</x:v>
      </x:c>
      <x:c r="S206" s="39" t="n">
        <x:f>MAX(S205,P206)</x:f>
        <x:v>1.2678931225645298</x:v>
      </x:c>
      <x:c r="T206" s="38" t="n">
        <x:f>P206/S206-1</x:f>
        <x:v>-0.04053366237806899</x:v>
      </x:c>
      <x:c r="U206" s="33" t="n">
        <x:f>IF(AND(L206=1,L205=0),1,0)</x:f>
        <x:v>0</x:v>
      </x:c>
      <x:c r="V206" s="33" t="n">
        <x:f>IF(AND(L206=0,L205=1),1,0)</x:f>
        <x:v>0</x:v>
      </x:c>
      <x:c r="W206" s="33" t="n">
        <x:f>IF(L206=K205,0,1)</x:f>
        <x:v>0</x:v>
      </x:c>
    </x:row>
    <x:row r="207">
      <x:c r="A207" s="29" t="n">
        <x:v>46149.5625</x:v>
      </x:c>
      <x:c r="B207" s="30" t="n">
        <x:v>208.33999633789062</x:v>
      </x:c>
      <x:c r="C207" s="30" t="n">
        <x:v>214.1999969482422</x:v>
      </x:c>
      <x:c r="D207" s="30" t="n">
        <x:v>206.5</x:v>
      </x:c>
      <x:c r="E207" s="30" t="n">
        <x:v>211.5</x:v>
      </x:c>
      <x:c r="F207" s="30" t="n">
        <x:v>211.2537841796875</x:v>
      </x:c>
      <x:c r="G207" s="31" t="n">
        <x:v>168307900</x:v>
      </x:c>
      <x:c r="H207" s="32" t="n">
        <x:f>F207/F206-1</x:f>
        <x:v>0.01765865404299216</x:v>
      </x:c>
      <x:c r="I207" s="35" t="n">
        <x:f>AVERAGE(F188:F207)</x:f>
        <x:v>201.61801528930664</x:v>
      </x:c>
      <x:c r="J207" s="35" t="n">
        <x:f>AVERAGE(F158:F207)</x:f>
        <x:v>187.82412048339845</x:v>
      </x:c>
      <x:c r="K207" s="33" t="n">
        <x:f>IF(COUNT(I207:J207)=2,IF(I207&gt;J207,1,0),0)</x:f>
        <x:v>1</x:v>
      </x:c>
      <x:c r="L207" s="33" t="n">
        <x:f>K206</x:f>
        <x:v>1</x:v>
      </x:c>
      <x:c r="M207" s="36" t="n">
        <x:f>L207*H207-IF(L207&lt;&gt;L206,'Assumptions'!$B$7+'Assumptions'!$B$8,0)</x:f>
        <x:v>0.01765865404299216</x:v>
      </x:c>
      <x:c r="N207" s="37" t="n">
        <x:f>N206*(1+M207)</x:f>
        <x:v>1.0168395098823848</x:v>
      </x:c>
      <x:c r="O207" s="36" t="n">
        <x:f>H207</x:f>
        <x:v>0.01765865404299216</x:v>
      </x:c>
      <x:c r="P207" s="37" t="n">
        <x:f>P206*(1+O207)</x:f>
        <x:v>1.2379825370576674</x:v>
      </x:c>
      <x:c r="Q207" s="34" t="n">
        <x:f>MAX(Q206,N207)</x:f>
        <x:v>1.102391214096513</x:v>
      </x:c>
      <x:c r="R207" s="38" t="n">
        <x:f>N207/Q207-1</x:f>
        <x:v>-0.07760557515350297</x:v>
      </x:c>
      <x:c r="S207" s="39" t="n">
        <x:f>MAX(S206,P207)</x:f>
        <x:v>1.2678931225645298</x:v>
      </x:c>
      <x:c r="T207" s="38" t="n">
        <x:f>P207/S207-1</x:f>
        <x:v>-0.02359077825610667</x:v>
      </x:c>
      <x:c r="U207" s="33" t="n">
        <x:f>IF(AND(L207=1,L206=0),1,0)</x:f>
        <x:v>0</x:v>
      </x:c>
      <x:c r="V207" s="33" t="n">
        <x:f>IF(AND(L207=0,L206=1),1,0)</x:f>
        <x:v>0</x:v>
      </x:c>
      <x:c r="W207" s="33" t="n">
        <x:f>IF(L207=K206,0,1)</x:f>
        <x:v>0</x:v>
      </x:c>
    </x:row>
    <x:row r="208">
      <x:c r="A208" s="29" t="n">
        <x:v>46150.5625</x:v>
      </x:c>
      <x:c r="B208" s="30" t="n">
        <x:v>213.02999877929688</x:v>
      </x:c>
      <x:c r="C208" s="30" t="n">
        <x:v>217.8000030517578</x:v>
      </x:c>
      <x:c r="D208" s="30" t="n">
        <x:v>212.88999938964844</x:v>
      </x:c>
      <x:c r="E208" s="30" t="n">
        <x:v>215.1999969482422</x:v>
      </x:c>
      <x:c r="F208" s="30" t="n">
        <x:v>214.94947814941406</x:v>
      </x:c>
      <x:c r="G208" s="31" t="n">
        <x:v>136421400</x:v>
      </x:c>
      <x:c r="H208" s="32" t="n">
        <x:f>F208/F207-1</x:f>
        <x:v>0.017494095947569344</x:v>
      </x:c>
      <x:c r="I208" s="35" t="n">
        <x:f>AVERAGE(F189:F208)</x:f>
        <x:v>202.94496841430663</x:v>
      </x:c>
      <x:c r="J208" s="35" t="n">
        <x:f>AVERAGE(F159:F208)</x:f>
        <x:v>188.42981475830078</x:v>
      </x:c>
      <x:c r="K208" s="33" t="n">
        <x:f>IF(COUNT(I208:J208)=2,IF(I208&gt;J208,1,0),0)</x:f>
        <x:v>1</x:v>
      </x:c>
      <x:c r="L208" s="33" t="n">
        <x:f>K207</x:f>
        <x:v>1</x:v>
      </x:c>
      <x:c r="M208" s="36" t="n">
        <x:f>L208*H208-IF(L208&lt;&gt;L207,'Assumptions'!$B$7+'Assumptions'!$B$8,0)</x:f>
        <x:v>0.017494095947569344</x:v>
      </x:c>
      <x:c r="N208" s="37" t="n">
        <x:f>N207*(1+M208)</x:f>
        <x:v>1.0346281978315466</x:v>
      </x:c>
      <x:c r="O208" s="36" t="n">
        <x:f>H208</x:f>
        <x:v>0.017494095947569344</x:v>
      </x:c>
      <x:c r="P208" s="37" t="n">
        <x:f>P207*(1+O208)</x:f>
        <x:v>1.2596399223423695</x:v>
      </x:c>
      <x:c r="Q208" s="34" t="n">
        <x:f>MAX(Q207,N208)</x:f>
        <x:v>1.102391214096513</x:v>
      </x:c>
      <x:c r="R208" s="38" t="n">
        <x:f>N208/Q208-1</x:f>
        <x:v>-0.06146911858373527</x:v>
      </x:c>
      <x:c r="S208" s="39" t="n">
        <x:f>MAX(S207,P208)</x:f>
        <x:v>1.2678931225645298</x:v>
      </x:c>
      <x:c r="T208" s="38" t="n">
        <x:f>P208/S208-1</x:f>
        <x:v>-0.006509381646827461</x:v>
      </x:c>
      <x:c r="U208" s="33" t="n">
        <x:f>IF(AND(L208=1,L207=0),1,0)</x:f>
        <x:v>0</x:v>
      </x:c>
      <x:c r="V208" s="33" t="n">
        <x:f>IF(AND(L208=0,L207=1),1,0)</x:f>
        <x:v>0</x:v>
      </x:c>
      <x:c r="W208" s="33" t="n">
        <x:f>IF(L208=K207,0,1)</x:f>
        <x:v>0</x:v>
      </x:c>
    </x:row>
    <x:row r="209">
      <x:c r="A209" s="29" t="n">
        <x:v>46153.5625</x:v>
      </x:c>
      <x:c r="B209" s="30" t="n">
        <x:v>214.0399932861328</x:v>
      </x:c>
      <x:c r="C209" s="30" t="n">
        <x:v>222.3000030517578</x:v>
      </x:c>
      <x:c r="D209" s="30" t="n">
        <x:v>213.88999938964844</x:v>
      </x:c>
      <x:c r="E209" s="30" t="n">
        <x:v>219.44000244140625</x:v>
      </x:c>
      <x:c r="F209" s="30" t="n">
        <x:v>219.18453979492188</x:v>
      </x:c>
      <x:c r="G209" s="31" t="n">
        <x:v>160685800</x:v>
      </x:c>
      <x:c r="H209" s="32" t="n">
        <x:f>F209/F208-1</x:f>
        <x:v>0.01970259096216065</x:v>
      </x:c>
      <x:c r="I209" s="35" t="n">
        <x:f>AVERAGE(F190:F209)</x:f>
        <x:v>204.44971466064453</x:v>
      </x:c>
      <x:c r="J209" s="35" t="n">
        <x:f>AVERAGE(F160:F209)</x:f>
        <x:v>189.27402252197265</x:v>
      </x:c>
      <x:c r="K209" s="33" t="n">
        <x:f>IF(COUNT(I209:J209)=2,IF(I209&gt;J209,1,0),0)</x:f>
        <x:v>1</x:v>
      </x:c>
      <x:c r="L209" s="33" t="n">
        <x:f>K208</x:f>
        <x:v>1</x:v>
      </x:c>
      <x:c r="M209" s="36" t="n">
        <x:f>L209*H209-IF(L209&lt;&gt;L208,'Assumptions'!$B$7+'Assumptions'!$B$8,0)</x:f>
        <x:v>0.01970259096216065</x:v>
      </x:c>
      <x:c r="N209" s="37" t="n">
        <x:f>N208*(1+M209)</x:f>
        <x:v>1.055013054011339</x:v>
      </x:c>
      <x:c r="O209" s="36" t="n">
        <x:f>H209</x:f>
        <x:v>0.01970259096216065</x:v>
      </x:c>
      <x:c r="P209" s="37" t="n">
        <x:f>P208*(1+O209)</x:f>
        <x:v>1.2844580924918891</x:v>
      </x:c>
      <x:c r="Q209" s="34" t="n">
        <x:f>MAX(Q208,N209)</x:f>
        <x:v>1.102391214096513</x:v>
      </x:c>
      <x:c r="R209" s="38" t="n">
        <x:f>N209/Q209-1</x:f>
        <x:v>-0.04297762852183462</x:v>
      </x:c>
      <x:c r="S209" s="39" t="n">
        <x:f>MAX(S208,P209)</x:f>
        <x:v>1.2844580924918891</x:v>
      </x:c>
      <x:c r="T209" s="38" t="n">
        <x:f>P209/S209-1</x:f>
        <x:v>0</x:v>
      </x:c>
      <x:c r="U209" s="33" t="n">
        <x:f>IF(AND(L209=1,L208=0),1,0)</x:f>
        <x:v>0</x:v>
      </x:c>
      <x:c r="V209" s="33" t="n">
        <x:f>IF(AND(L209=0,L208=1),1,0)</x:f>
        <x:v>0</x:v>
      </x:c>
      <x:c r="W209" s="33" t="n">
        <x:f>IF(L209=K208,0,1)</x:f>
        <x:v>0</x:v>
      </x:c>
    </x:row>
    <x:row r="210">
      <x:c r="A210" s="29" t="n">
        <x:v>46154.5625</x:v>
      </x:c>
      <x:c r="B210" s="30" t="n">
        <x:v>218.5500030517578</x:v>
      </x:c>
      <x:c r="C210" s="30" t="n">
        <x:v>223.75</x:v>
      </x:c>
      <x:c r="D210" s="30" t="n">
        <x:v>214.9199981689453</x:v>
      </x:c>
      <x:c r="E210" s="30" t="n">
        <x:v>220.77999877929688</x:v>
      </x:c>
      <x:c r="F210" s="30" t="n">
        <x:v>220.52297973632812</x:v>
      </x:c>
      <x:c r="G210" s="31" t="n">
        <x:v>159176600</x:v>
      </x:c>
      <x:c r="H210" s="32" t="n">
        <x:f>F210/F209-1</x:f>
        <x:v>0.006106452319395217</x:v>
      </x:c>
      <x:c r="I210" s="35" t="n">
        <x:f>AVERAGE(F191:F210)</x:f>
        <x:v>205.66180191040038</x:v>
      </x:c>
      <x:c r="J210" s="35" t="n">
        <x:f>AVERAGE(F161:F210)</x:f>
        <x:v>190.0393280029297</x:v>
      </x:c>
      <x:c r="K210" s="33" t="n">
        <x:f>IF(COUNT(I210:J210)=2,IF(I210&gt;J210,1,0),0)</x:f>
        <x:v>1</x:v>
      </x:c>
      <x:c r="L210" s="33" t="n">
        <x:f>K209</x:f>
        <x:v>1</x:v>
      </x:c>
      <x:c r="M210" s="36" t="n">
        <x:f>L210*H210-IF(L210&lt;&gt;L209,'Assumptions'!$B$7+'Assumptions'!$B$8,0)</x:f>
        <x:v>0.006106452319395217</x:v>
      </x:c>
      <x:c r="N210" s="37" t="n">
        <x:f>N209*(1+M210)</x:f>
        <x:v>1.0614554409219987</x:v>
      </x:c>
      <x:c r="O210" s="36" t="n">
        <x:f>H210</x:f>
        <x:v>0.006106452319395217</x:v>
      </x:c>
      <x:c r="P210" s="37" t="n">
        <x:f>P209*(1+O210)</x:f>
        <x:v>1.2923015745899522</x:v>
      </x:c>
      <x:c r="Q210" s="34" t="n">
        <x:f>MAX(Q209,N210)</x:f>
        <x:v>1.102391214096513</x:v>
      </x:c>
      <x:c r="R210" s="38" t="n">
        <x:f>N210/Q210-1</x:f>
        <x:v>-0.03713361704180862</x:v>
      </x:c>
      <x:c r="S210" s="39" t="n">
        <x:f>MAX(S209,P210)</x:f>
        <x:v>1.2923015745899522</x:v>
      </x:c>
      <x:c r="T210" s="38" t="n">
        <x:f>P210/S210-1</x:f>
        <x:v>0</x:v>
      </x:c>
      <x:c r="U210" s="33" t="n">
        <x:f>IF(AND(L210=1,L209=0),1,0)</x:f>
        <x:v>0</x:v>
      </x:c>
      <x:c r="V210" s="33" t="n">
        <x:f>IF(AND(L210=0,L209=1),1,0)</x:f>
        <x:v>0</x:v>
      </x:c>
      <x:c r="W210" s="33" t="n">
        <x:f>IF(L210=K209,0,1)</x:f>
        <x:v>0</x:v>
      </x:c>
    </x:row>
    <x:row r="211">
      <x:c r="A211" s="29" t="n">
        <x:v>46155.5625</x:v>
      </x:c>
      <x:c r="B211" s="30" t="n">
        <x:v>224.92999267578125</x:v>
      </x:c>
      <x:c r="C211" s="30" t="n">
        <x:v>227.83999633789062</x:v>
      </x:c>
      <x:c r="D211" s="30" t="n">
        <x:v>221.57000732421875</x:v>
      </x:c>
      <x:c r="E211" s="30" t="n">
        <x:v>225.8300018310547</x:v>
      </x:c>
      <x:c r="F211" s="30" t="n">
        <x:v>225.56710815429688</x:v>
      </x:c>
      <x:c r="G211" s="31" t="n">
        <x:v>150405400</x:v>
      </x:c>
      <x:c r="H211" s="32" t="n">
        <x:f>F211/F210-1</x:f>
        <x:v>0.022873482047085725</x:v>
      </x:c>
      <x:c r="I211" s="35" t="n">
        <x:f>AVERAGE(F192:F211)</x:f>
        <x:v>207.00823287963868</x:v>
      </x:c>
      <x:c r="J211" s="35" t="n">
        <x:f>AVERAGE(F162:F211)</x:f>
        <x:v>190.95405700683594</x:v>
      </x:c>
      <x:c r="K211" s="33" t="n">
        <x:f>IF(COUNT(I211:J211)=2,IF(I211&gt;J211,1,0),0)</x:f>
        <x:v>1</x:v>
      </x:c>
      <x:c r="L211" s="33" t="n">
        <x:f>K210</x:f>
        <x:v>1</x:v>
      </x:c>
      <x:c r="M211" s="36" t="n">
        <x:f>L211*H211-IF(L211&lt;&gt;L210,'Assumptions'!$B$7+'Assumptions'!$B$8,0)</x:f>
        <x:v>0.022873482047085725</x:v>
      </x:c>
      <x:c r="N211" s="37" t="n">
        <x:f>N210*(1+M211)</x:f>
        <x:v>1.0857346228937095</x:v>
      </x:c>
      <x:c r="O211" s="36" t="n">
        <x:f>H211</x:f>
        <x:v>0.022873482047085725</x:v>
      </x:c>
      <x:c r="P211" s="37" t="n">
        <x:f>P210*(1+O211)</x:f>
        <x:v>1.321861011455756</x:v>
      </x:c>
      <x:c r="Q211" s="34" t="n">
        <x:f>MAX(Q210,N211)</x:f>
        <x:v>1.102391214096513</x:v>
      </x:c>
      <x:c r="R211" s="38" t="n">
        <x:f>N211/Q211-1</x:f>
        <x:v>-0.01510951011747208</x:v>
      </x:c>
      <x:c r="S211" s="39" t="n">
        <x:f>MAX(S210,P211)</x:f>
        <x:v>1.321861011455756</x:v>
      </x:c>
      <x:c r="T211" s="38" t="n">
        <x:f>P211/S211-1</x:f>
        <x:v>0</x:v>
      </x:c>
      <x:c r="U211" s="33" t="n">
        <x:f>IF(AND(L211=1,L210=0),1,0)</x:f>
        <x:v>0</x:v>
      </x:c>
      <x:c r="V211" s="33" t="n">
        <x:f>IF(AND(L211=0,L210=1),1,0)</x:f>
        <x:v>0</x:v>
      </x:c>
      <x:c r="W211" s="33" t="n">
        <x:f>IF(L211=K210,0,1)</x:f>
        <x:v>0</x:v>
      </x:c>
    </x:row>
    <x:row r="212">
      <x:c r="A212" s="29" t="n">
        <x:v>46156.5625</x:v>
      </x:c>
      <x:c r="B212" s="30" t="n">
        <x:v>229.85000610351562</x:v>
      </x:c>
      <x:c r="C212" s="30" t="n">
        <x:v>236.5399932861328</x:v>
      </x:c>
      <x:c r="D212" s="30" t="n">
        <x:v>229.3000030517578</x:v>
      </x:c>
      <x:c r="E212" s="30" t="n">
        <x:v>235.74000549316406</x:v>
      </x:c>
      <x:c r="F212" s="30" t="n">
        <x:v>235.465576171875</x:v>
      </x:c>
      <x:c r="G212" s="31" t="n">
        <x:v>180782900</x:v>
      </x:c>
      <x:c r="H212" s="32" t="n">
        <x:f>F212/F211-1</x:f>
        <x:v>0.04388258597883499</x:v>
      </x:c>
      <x:c r="I212" s="35" t="n">
        <x:f>AVERAGE(F193:F212)</x:f>
        <x:v>208.87555694580078</x:v>
      </x:c>
      <x:c r="J212" s="35" t="n">
        <x:f>AVERAGE(F163:F212)</x:f>
        <x:v>192.00702819824218</x:v>
      </x:c>
      <x:c r="K212" s="33" t="n">
        <x:f>IF(COUNT(I212:J212)=2,IF(I212&gt;J212,1,0),0)</x:f>
        <x:v>1</x:v>
      </x:c>
      <x:c r="L212" s="33" t="n">
        <x:f>K211</x:f>
        <x:v>1</x:v>
      </x:c>
      <x:c r="M212" s="36" t="n">
        <x:f>L212*H212-IF(L212&lt;&gt;L211,'Assumptions'!$B$7+'Assumptions'!$B$8,0)</x:f>
        <x:v>0.04388258597883499</x:v>
      </x:c>
      <x:c r="N212" s="37" t="n">
        <x:f>N211*(1+M212)</x:f>
        <x:v>1.1333794658330407</x:v>
      </x:c>
      <x:c r="O212" s="36" t="n">
        <x:f>H212</x:f>
        <x:v>0.04388258597883499</x:v>
      </x:c>
      <x:c r="P212" s="37" t="n">
        <x:f>P211*(1+O212)</x:f>
        <x:v>1.379867690943033</x:v>
      </x:c>
      <x:c r="Q212" s="34" t="n">
        <x:f>MAX(Q211,N212)</x:f>
        <x:v>1.1333794658330407</x:v>
      </x:c>
      <x:c r="R212" s="38" t="n">
        <x:f>N212/Q212-1</x:f>
        <x:v>0</x:v>
      </x:c>
      <x:c r="S212" s="39" t="n">
        <x:f>MAX(S211,P212)</x:f>
        <x:v>1.379867690943033</x:v>
      </x:c>
      <x:c r="T212" s="38" t="n">
        <x:f>P212/S212-1</x:f>
        <x:v>0</x:v>
      </x:c>
      <x:c r="U212" s="33" t="n">
        <x:f>IF(AND(L212=1,L211=0),1,0)</x:f>
        <x:v>0</x:v>
      </x:c>
      <x:c r="V212" s="33" t="n">
        <x:f>IF(AND(L212=0,L211=1),1,0)</x:f>
        <x:v>0</x:v>
      </x:c>
      <x:c r="W212" s="33" t="n">
        <x:f>IF(L212=K211,0,1)</x:f>
        <x:v>0</x:v>
      </x:c>
    </x:row>
    <x:row r="213">
      <x:c r="A213" s="29" t="n">
        <x:v>46157.5625</x:v>
      </x:c>
      <x:c r="B213" s="30" t="n">
        <x:v>229.75999450683594</x:v>
      </x:c>
      <x:c r="C213" s="30" t="n">
        <x:v>231.5</x:v>
      </x:c>
      <x:c r="D213" s="30" t="n">
        <x:v>224.24000549316406</x:v>
      </x:c>
      <x:c r="E213" s="30" t="n">
        <x:v>225.32000732421875</x:v>
      </x:c>
      <x:c r="F213" s="30" t="n">
        <x:v>225.05770874023438</x:v>
      </x:c>
      <x:c r="G213" s="31" t="n">
        <x:v>180977600</x:v>
      </x:c>
      <x:c r="H213" s="32" t="n">
        <x:f>F213/F212-1</x:f>
        <x:v>-0.04420122720632225</x:v>
      </x:c>
      <x:c r="I213" s="35" t="n">
        <x:f>AVERAGE(F194:F213)</x:f>
        <x:v>210.05618209838866</x:v>
      </x:c>
      <x:c r="J213" s="35" t="n">
        <x:f>AVERAGE(F164:F213)</x:f>
        <x:v>192.84584930419922</x:v>
      </x:c>
      <x:c r="K213" s="33" t="n">
        <x:f>IF(COUNT(I213:J213)=2,IF(I213&gt;J213,1,0),0)</x:f>
        <x:v>1</x:v>
      </x:c>
      <x:c r="L213" s="33" t="n">
        <x:f>K212</x:f>
        <x:v>1</x:v>
      </x:c>
      <x:c r="M213" s="36" t="n">
        <x:f>L213*H213-IF(L213&lt;&gt;L212,'Assumptions'!$B$7+'Assumptions'!$B$8,0)</x:f>
        <x:v>-0.04420122720632225</x:v>
      </x:c>
      <x:c r="N213" s="37" t="n">
        <x:f>N212*(1+M213)</x:f>
        <x:v>1.0832827025527743</x:v>
      </x:c>
      <x:c r="O213" s="36" t="n">
        <x:f>H213</x:f>
        <x:v>-0.04420122720632225</x:v>
      </x:c>
      <x:c r="P213" s="37" t="n">
        <x:f>P212*(1+O213)</x:f>
        <x:v>1.3188758456209968</x:v>
      </x:c>
      <x:c r="Q213" s="34" t="n">
        <x:f>MAX(Q212,N213)</x:f>
        <x:v>1.1333794658330407</x:v>
      </x:c>
      <x:c r="R213" s="38" t="n">
        <x:f>N213/Q213-1</x:f>
        <x:v>-0.04420122720632236</x:v>
      </x:c>
      <x:c r="S213" s="39" t="n">
        <x:f>MAX(S212,P213)</x:f>
        <x:v>1.379867690943033</x:v>
      </x:c>
      <x:c r="T213" s="38" t="n">
        <x:f>P213/S213-1</x:f>
        <x:v>-0.044201227206322136</x:v>
      </x:c>
      <x:c r="U213" s="33" t="n">
        <x:f>IF(AND(L213=1,L212=0),1,0)</x:f>
        <x:v>0</x:v>
      </x:c>
      <x:c r="V213" s="33" t="n">
        <x:f>IF(AND(L213=0,L212=1),1,0)</x:f>
        <x:v>0</x:v>
      </x:c>
      <x:c r="W213" s="33" t="n">
        <x:f>IF(L213=K212,0,1)</x:f>
        <x:v>0</x:v>
      </x:c>
    </x:row>
    <x:row r="214">
      <x:c r="A214" s="29" t="n">
        <x:v>46160.5625</x:v>
      </x:c>
      <x:c r="B214" s="30" t="n">
        <x:v>229.8699951171875</x:v>
      </x:c>
      <x:c r="C214" s="30" t="n">
        <x:v>230</x:v>
      </x:c>
      <x:c r="D214" s="30" t="n">
        <x:v>218.3699951171875</x:v>
      </x:c>
      <x:c r="E214" s="30" t="n">
        <x:v>222.32000732421875</x:v>
      </x:c>
      <x:c r="F214" s="30" t="n">
        <x:v>222.0612030029297</x:v>
      </x:c>
      <x:c r="G214" s="31" t="n">
        <x:v>146280900</x:v>
      </x:c>
      <x:c r="H214" s="32" t="n">
        <x:f>F214/F213-1</x:f>
        <x:v>-0.013314388358780072</x:v>
      </x:c>
      <x:c r="I214" s="35" t="n">
        <x:f>AVERAGE(F195:F214)</x:f>
        <x:v>211.06800384521483</x:v>
      </x:c>
      <x:c r="J214" s="35" t="n">
        <x:f>AVERAGE(F165:F214)</x:f>
        <x:v>193.73500579833984</x:v>
      </x:c>
      <x:c r="K214" s="33" t="n">
        <x:f>IF(COUNT(I214:J214)=2,IF(I214&gt;J214,1,0),0)</x:f>
        <x:v>1</x:v>
      </x:c>
      <x:c r="L214" s="33" t="n">
        <x:f>K213</x:f>
        <x:v>1</x:v>
      </x:c>
      <x:c r="M214" s="36" t="n">
        <x:f>L214*H214-IF(L214&lt;&gt;L213,'Assumptions'!$B$7+'Assumptions'!$B$8,0)</x:f>
        <x:v>-0.013314388358780072</x:v>
      </x:c>
      <x:c r="N214" s="37" t="n">
        <x:f>N213*(1+M214)</x:f>
        <x:v>1.0688594559486377</x:v>
      </x:c>
      <x:c r="O214" s="36" t="n">
        <x:f>H214</x:f>
        <x:v>-0.013314388358780072</x:v>
      </x:c>
      <x:c r="P214" s="37" t="n">
        <x:f>P213*(1+O214)</x:f>
        <x:v>1.3013158204153843</x:v>
      </x:c>
      <x:c r="Q214" s="34" t="n">
        <x:f>MAX(Q213,N214)</x:f>
        <x:v>1.1333794658330407</x:v>
      </x:c>
      <x:c r="R214" s="38" t="n">
        <x:f>N214/Q214-1</x:f>
        <x:v>-0.05692710326014283</x:v>
      </x:c>
      <x:c r="S214" s="39" t="n">
        <x:f>MAX(S213,P214)</x:f>
        <x:v>1.379867690943033</x:v>
      </x:c>
      <x:c r="T214" s="38" t="n">
        <x:f>P214/S214-1</x:f>
        <x:v>-0.05692710326014272</x:v>
      </x:c>
      <x:c r="U214" s="33" t="n">
        <x:f>IF(AND(L214=1,L213=0),1,0)</x:f>
        <x:v>0</x:v>
      </x:c>
      <x:c r="V214" s="33" t="n">
        <x:f>IF(AND(L214=0,L213=1),1,0)</x:f>
        <x:v>0</x:v>
      </x:c>
      <x:c r="W214" s="33" t="n">
        <x:f>IF(L214=K213,0,1)</x:f>
        <x:v>0</x:v>
      </x:c>
    </x:row>
    <x:row r="215">
      <x:c r="A215" s="29" t="n">
        <x:v>46161.5625</x:v>
      </x:c>
      <x:c r="B215" s="30" t="n">
        <x:v>219.6199951171875</x:v>
      </x:c>
      <x:c r="C215" s="30" t="n">
        <x:v>224.47999572753906</x:v>
      </x:c>
      <x:c r="D215" s="30" t="n">
        <x:v>217.91000366210938</x:v>
      </x:c>
      <x:c r="E215" s="30" t="n">
        <x:v>220.61000061035156</x:v>
      </x:c>
      <x:c r="F215" s="30" t="n">
        <x:v>220.35317993164062</x:v>
      </x:c>
      <x:c r="G215" s="31" t="n">
        <x:v>140948200</x:v>
      </x:c>
      <x:c r="H215" s="32" t="n">
        <x:f>F215/F214-1</x:f>
        <x:v>-0.007691677106092865</x:v>
      </x:c>
      <x:c r="I215" s="35" t="n">
        <x:f>AVERAGE(F196:F215)</x:f>
        <x:v>212.10329666137696</x:v>
      </x:c>
      <x:c r="J215" s="35" t="n">
        <x:f>AVERAGE(F166:F215)</x:f>
        <x:v>194.49351959228517</x:v>
      </x:c>
      <x:c r="K215" s="33" t="n">
        <x:f>IF(COUNT(I215:J215)=2,IF(I215&gt;J215,1,0),0)</x:f>
        <x:v>1</x:v>
      </x:c>
      <x:c r="L215" s="33" t="n">
        <x:f>K214</x:f>
        <x:v>1</x:v>
      </x:c>
      <x:c r="M215" s="36" t="n">
        <x:f>L215*H215-IF(L215&lt;&gt;L214,'Assumptions'!$B$7+'Assumptions'!$B$8,0)</x:f>
        <x:v>-0.007691677106092865</x:v>
      </x:c>
      <x:c r="N215" s="37" t="n">
        <x:f>N214*(1+M215)</x:f>
        <x:v>1.0606381341416866</x:v>
      </x:c>
      <x:c r="O215" s="36" t="n">
        <x:f>H215</x:f>
        <x:v>-0.007691677106092865</x:v>
      </x:c>
      <x:c r="P215" s="37" t="n">
        <x:f>P214*(1+O215)</x:f>
        <x:v>1.2913065193116988</x:v>
      </x:c>
      <x:c r="Q215" s="34" t="n">
        <x:f>MAX(Q214,N215)</x:f>
        <x:v>1.1333794658330407</x:v>
      </x:c>
      <x:c r="R215" s="38" t="n">
        <x:f>N215/Q215-1</x:f>
        <x:v>-0.06418091546937355</x:v>
      </x:c>
      <x:c r="S215" s="39" t="n">
        <x:f>MAX(S214,P215)</x:f>
        <x:v>1.379867690943033</x:v>
      </x:c>
      <x:c r="T215" s="38" t="n">
        <x:f>P215/S215-1</x:f>
        <x:v>-0.06418091546937332</x:v>
      </x:c>
      <x:c r="U215" s="33" t="n">
        <x:f>IF(AND(L215=1,L214=0),1,0)</x:f>
        <x:v>0</x:v>
      </x:c>
      <x:c r="V215" s="33" t="n">
        <x:f>IF(AND(L215=0,L214=1),1,0)</x:f>
        <x:v>0</x:v>
      </x:c>
      <x:c r="W215" s="33" t="n">
        <x:f>IF(L215=K214,0,1)</x:f>
        <x:v>0</x:v>
      </x:c>
    </x:row>
    <x:row r="216">
      <x:c r="A216" s="29" t="n">
        <x:v>46162.5625</x:v>
      </x:c>
      <x:c r="B216" s="30" t="n">
        <x:v>223.17999267578125</x:v>
      </x:c>
      <x:c r="C216" s="30" t="n">
        <x:v>226.1300048828125</x:v>
      </x:c>
      <x:c r="D216" s="30" t="n">
        <x:v>220.5</x:v>
      </x:c>
      <x:c r="E216" s="30" t="n">
        <x:v>223.47000122070312</x:v>
      </x:c>
      <x:c r="F216" s="30" t="n">
        <x:v>223.20985412597656</x:v>
      </x:c>
      <x:c r="G216" s="31" t="n">
        <x:v>184201600</x:v>
      </x:c>
      <x:c r="H216" s="32" t="n">
        <x:f>F216/F215-1</x:f>
        <x:v>0.012964070657941695</x:v>
      </x:c>
      <x:c r="I216" s="35" t="n">
        <x:f>AVERAGE(F197:F216)</x:f>
        <x:v>213.15057601928712</x:v>
      </x:c>
      <x:c r="J216" s="35" t="n">
        <x:f>AVERAGE(F167:F216)</x:f>
        <x:v>195.26681823730468</x:v>
      </x:c>
      <x:c r="K216" s="33" t="n">
        <x:f>IF(COUNT(I216:J216)=2,IF(I216&gt;J216,1,0),0)</x:f>
        <x:v>1</x:v>
      </x:c>
      <x:c r="L216" s="33" t="n">
        <x:f>K215</x:f>
        <x:v>1</x:v>
      </x:c>
      <x:c r="M216" s="36" t="n">
        <x:f>L216*H216-IF(L216&lt;&gt;L215,'Assumptions'!$B$7+'Assumptions'!$B$8,0)</x:f>
        <x:v>0.012964070657941695</x:v>
      </x:c>
      <x:c r="N216" s="37" t="n">
        <x:f>N215*(1+M216)</x:f>
        <x:v>1.0743883218552068</x:v>
      </x:c>
      <x:c r="O216" s="36" t="n">
        <x:f>H216</x:f>
        <x:v>0.012964070657941695</x:v>
      </x:c>
      <x:c r="P216" s="37" t="n">
        <x:f>P215*(1+O216)</x:f>
        <x:v>1.3080471082691165</x:v>
      </x:c>
      <x:c r="Q216" s="34" t="n">
        <x:f>MAX(Q215,N216)</x:f>
        <x:v>1.1333794658330407</x:v>
      </x:c>
      <x:c r="R216" s="38" t="n">
        <x:f>N216/Q216-1</x:f>
        <x:v>-0.05204889073446817</x:v>
      </x:c>
      <x:c r="S216" s="39" t="n">
        <x:f>MAX(S215,P216)</x:f>
        <x:v>1.379867690943033</x:v>
      </x:c>
      <x:c r="T216" s="38" t="n">
        <x:f>P216/S216-1</x:f>
        <x:v>-0.052048890734467945</x:v>
      </x:c>
      <x:c r="U216" s="33" t="n">
        <x:f>IF(AND(L216=1,L215=0),1,0)</x:f>
        <x:v>0</x:v>
      </x:c>
      <x:c r="V216" s="33" t="n">
        <x:f>IF(AND(L216=0,L215=1),1,0)</x:f>
        <x:v>0</x:v>
      </x:c>
      <x:c r="W216" s="33" t="n">
        <x:f>IF(L216=K215,0,1)</x:f>
        <x:v>0</x:v>
      </x:c>
    </x:row>
    <x:row r="217">
      <x:c r="A217" s="29" t="n">
        <x:v>46163.5625</x:v>
      </x:c>
      <x:c r="B217" s="30" t="n">
        <x:v>222.2899932861328</x:v>
      </x:c>
      <x:c r="C217" s="30" t="n">
        <x:v>227.39999389648438</x:v>
      </x:c>
      <x:c r="D217" s="30" t="n">
        <x:v>217.92999267578125</x:v>
      </x:c>
      <x:c r="E217" s="30" t="n">
        <x:v>219.50999450683594</x:v>
      </x:c>
      <x:c r="F217" s="30" t="n">
        <x:v>219.25445556640625</x:v>
      </x:c>
      <x:c r="G217" s="31" t="n">
        <x:v>203381800</x:v>
      </x:c>
      <x:c r="H217" s="32" t="n">
        <x:f>F217/F216-1</x:f>
        <x:v>-0.017720537361840427</x:v>
      </x:c>
      <x:c r="I217" s="35" t="n">
        <x:f>AVERAGE(F198:F217)</x:f>
        <x:v>214.14291915893554</x:v>
      </x:c>
      <x:c r="J217" s="35" t="n">
        <x:f>AVERAGE(F168:F217)</x:f>
        <x:v>195.93563873291015</x:v>
      </x:c>
      <x:c r="K217" s="33" t="n">
        <x:f>IF(COUNT(I217:J217)=2,IF(I217&gt;J217,1,0),0)</x:f>
        <x:v>1</x:v>
      </x:c>
      <x:c r="L217" s="33" t="n">
        <x:f>K216</x:f>
        <x:v>1</x:v>
      </x:c>
      <x:c r="M217" s="36" t="n">
        <x:f>L217*H217-IF(L217&lt;&gt;L216,'Assumptions'!$B$7+'Assumptions'!$B$8,0)</x:f>
        <x:v>-0.017720537361840427</x:v>
      </x:c>
      <x:c r="N217" s="37" t="n">
        <x:f>N216*(1+M217)</x:f>
        <x:v>1.0553495834566466</x:v>
      </x:c>
      <x:c r="O217" s="36" t="n">
        <x:f>H217</x:f>
        <x:v>-0.017720537361840427</x:v>
      </x:c>
      <x:c r="P217" s="37" t="n">
        <x:f>P216*(1+O217)</x:f>
        <x:v>1.2848678106159863</x:v>
      </x:c>
      <x:c r="Q217" s="34" t="n">
        <x:f>MAX(Q216,N217)</x:f>
        <x:v>1.1333794658330407</x:v>
      </x:c>
      <x:c r="R217" s="38" t="n">
        <x:f>N217/Q217-1</x:f>
        <x:v>-0.06884709378340614</x:v>
      </x:c>
      <x:c r="S217" s="39" t="n">
        <x:f>MAX(S216,P217)</x:f>
        <x:v>1.379867690943033</x:v>
      </x:c>
      <x:c r="T217" s="38" t="n">
        <x:f>P217/S217-1</x:f>
        <x:v>-0.06884709378340581</x:v>
      </x:c>
      <x:c r="U217" s="33" t="n">
        <x:f>IF(AND(L217=1,L216=0),1,0)</x:f>
        <x:v>0</x:v>
      </x:c>
      <x:c r="V217" s="33" t="n">
        <x:f>IF(AND(L217=0,L216=1),1,0)</x:f>
        <x:v>0</x:v>
      </x:c>
      <x:c r="W217" s="33" t="n">
        <x:f>IF(L217=K216,0,1)</x:f>
        <x:v>0</x:v>
      </x:c>
    </x:row>
    <x:row r="218">
      <x:c r="A218" s="29" t="n">
        <x:v>46164.5625</x:v>
      </x:c>
      <x:c r="B218" s="30" t="n">
        <x:v>220.89999389648438</x:v>
      </x:c>
      <x:c r="C218" s="30" t="n">
        <x:v>221.00999450683594</x:v>
      </x:c>
      <x:c r="D218" s="30" t="n">
        <x:v>214.8000030517578</x:v>
      </x:c>
      <x:c r="E218" s="30" t="n">
        <x:v>215.3300018310547</x:v>
      </x:c>
      <x:c r="F218" s="30" t="n">
        <x:v>215.07933044433594</x:v>
      </x:c>
      <x:c r="G218" s="31" t="n">
        <x:v>169275700</x:v>
      </x:c>
      <x:c r="H218" s="32" t="n">
        <x:f>F218/F217-1</x:f>
        <x:v>-0.01904237298751621</x:v>
      </x:c>
      <x:c r="I218" s="35" t="n">
        <x:f>AVERAGE(F199:F218)</x:f>
        <x:v>214.49550857543946</x:v>
      </x:c>
      <x:c r="J218" s="35" t="n">
        <x:f>AVERAGE(F169:F218)</x:f>
        <x:v>196.57868927001954</x:v>
      </x:c>
      <x:c r="K218" s="33" t="n">
        <x:f>IF(COUNT(I218:J218)=2,IF(I218&gt;J218,1,0),0)</x:f>
        <x:v>1</x:v>
      </x:c>
      <x:c r="L218" s="33" t="n">
        <x:f>K217</x:f>
        <x:v>1</x:v>
      </x:c>
      <x:c r="M218" s="36" t="n">
        <x:f>L218*H218-IF(L218&lt;&gt;L217,'Assumptions'!$B$7+'Assumptions'!$B$8,0)</x:f>
        <x:v>-0.01904237298751621</x:v>
      </x:c>
      <x:c r="N218" s="37" t="n">
        <x:f>N217*(1+M218)</x:f>
        <x:v>1.0352532230562452</x:v>
      </x:c>
      <x:c r="O218" s="36" t="n">
        <x:f>H218</x:f>
        <x:v>-0.01904237298751621</x:v>
      </x:c>
      <x:c r="P218" s="37" t="n">
        <x:f>P217*(1+O218)</x:f>
        <x:v>1.2604008785265834</x:v>
      </x:c>
      <x:c r="Q218" s="34" t="n">
        <x:f>MAX(Q217,N218)</x:f>
        <x:v>1.1333794658330407</x:v>
      </x:c>
      <x:c r="R218" s="38" t="n">
        <x:f>N218/Q218-1</x:f>
        <x:v>-0.08657845473199222</x:v>
      </x:c>
      <x:c r="S218" s="39" t="n">
        <x:f>MAX(S217,P218)</x:f>
        <x:v>1.379867690943033</x:v>
      </x:c>
      <x:c r="T218" s="38" t="n">
        <x:f>P218/S218-1</x:f>
        <x:v>-0.08657845473199188</x:v>
      </x:c>
      <x:c r="U218" s="33" t="n">
        <x:f>IF(AND(L218=1,L217=0),1,0)</x:f>
        <x:v>0</x:v>
      </x:c>
      <x:c r="V218" s="33" t="n">
        <x:f>IF(AND(L218=0,L217=1),1,0)</x:f>
        <x:v>0</x:v>
      </x:c>
      <x:c r="W218" s="33" t="n">
        <x:f>IF(L218=K217,0,1)</x:f>
        <x:v>0</x:v>
      </x:c>
    </x:row>
    <x:row r="219">
      <x:c r="A219" s="29" t="n">
        <x:v>46168.5625</x:v>
      </x:c>
      <x:c r="B219" s="30" t="n">
        <x:v>216.5399932861328</x:v>
      </x:c>
      <x:c r="C219" s="30" t="n">
        <x:v>218.17999267578125</x:v>
      </x:c>
      <x:c r="D219" s="30" t="n">
        <x:v>212</x:v>
      </x:c>
      <x:c r="E219" s="30" t="n">
        <x:v>214.86000061035156</x:v>
      </x:c>
      <x:c r="F219" s="30" t="n">
        <x:v>214.60987854003906</x:v>
      </x:c>
      <x:c r="G219" s="31" t="n">
        <x:v>187202600</x:v>
      </x:c>
      <x:c r="H219" s="32" t="n">
        <x:f>F219/F218-1</x:f>
        <x:v>-0.0021826918622399605</x:v>
      </x:c>
      <x:c r="I219" s="35" t="n">
        <x:f>AVERAGE(F200:F219)</x:f>
        <x:v>214.40811080932616</x:v>
      </x:c>
      <x:c r="J219" s="35" t="n">
        <x:f>AVERAGE(F170:F219)</x:f>
        <x:v>197.27008361816405</x:v>
      </x:c>
      <x:c r="K219" s="33" t="n">
        <x:f>IF(COUNT(I219:J219)=2,IF(I219&gt;J219,1,0),0)</x:f>
        <x:v>1</x:v>
      </x:c>
      <x:c r="L219" s="33" t="n">
        <x:f>K218</x:f>
        <x:v>1</x:v>
      </x:c>
      <x:c r="M219" s="36" t="n">
        <x:f>L219*H219-IF(L219&lt;&gt;L218,'Assumptions'!$B$7+'Assumptions'!$B$8,0)</x:f>
        <x:v>-0.0021826918622399605</x:v>
      </x:c>
      <x:c r="N219" s="37" t="n">
        <x:f>N218*(1+M219)</x:f>
        <x:v>1.0329935842709226</x:v>
      </x:c>
      <x:c r="O219" s="36" t="n">
        <x:f>H219</x:f>
        <x:v>-0.0021826918622399605</x:v>
      </x:c>
      <x:c r="P219" s="37" t="n">
        <x:f>P218*(1+O219)</x:f>
        <x:v>1.2576498117858634</x:v>
      </x:c>
      <x:c r="Q219" s="34" t="n">
        <x:f>MAX(Q218,N219)</x:f>
        <x:v>1.1333794658330407</x:v>
      </x:c>
      <x:c r="R219" s="38" t="n">
        <x:f>N219/Q219-1</x:f>
        <x:v>-0.08857217250564353</x:v>
      </x:c>
      <x:c r="S219" s="39" t="n">
        <x:f>MAX(S218,P219)</x:f>
        <x:v>1.379867690943033</x:v>
      </x:c>
      <x:c r="T219" s="38" t="n">
        <x:f>P219/S219-1</x:f>
        <x:v>-0.08857217250564298</x:v>
      </x:c>
      <x:c r="U219" s="33" t="n">
        <x:f>IF(AND(L219=1,L218=0),1,0)</x:f>
        <x:v>0</x:v>
      </x:c>
      <x:c r="V219" s="33" t="n">
        <x:f>IF(AND(L219=0,L218=1),1,0)</x:f>
        <x:v>0</x:v>
      </x:c>
      <x:c r="W219" s="33" t="n">
        <x:f>IF(L219=K218,0,1)</x:f>
        <x:v>0</x:v>
      </x:c>
    </x:row>
    <x:row r="220">
      <x:c r="A220" s="29" t="n">
        <x:v>46169.5625</x:v>
      </x:c>
      <x:c r="B220" s="30" t="n">
        <x:v>214.1199951171875</x:v>
      </x:c>
      <x:c r="C220" s="30" t="n">
        <x:v>214.14999389648438</x:v>
      </x:c>
      <x:c r="D220" s="30" t="n">
        <x:v>208.77999877929688</x:v>
      </x:c>
      <x:c r="E220" s="30" t="n">
        <x:v>212.60000610351562</x:v>
      </x:c>
      <x:c r="F220" s="30" t="n">
        <x:v>212.35250854492188</x:v>
      </x:c>
      <x:c r="G220" s="31" t="n">
        <x:v>167601200</x:v>
      </x:c>
      <x:c r="H220" s="32" t="n">
        <x:f>F220/F219-1</x:f>
        <x:v>-0.010518481304186755</x:v>
      </x:c>
      <x:c r="I220" s="35" t="n">
        <x:f>AVERAGE(F201:F220)</x:f>
        <x:v>214.37964401245117</x:v>
      </x:c>
      <x:c r="J220" s="35" t="n">
        <x:f>AVERAGE(F171:F220)</x:f>
        <x:v>197.85699951171875</x:v>
      </x:c>
      <x:c r="K220" s="33" t="n">
        <x:f>IF(COUNT(I220:J220)=2,IF(I220&gt;J220,1,0),0)</x:f>
        <x:v>1</x:v>
      </x:c>
      <x:c r="L220" s="33" t="n">
        <x:f>K219</x:f>
        <x:v>1</x:v>
      </x:c>
      <x:c r="M220" s="36" t="n">
        <x:f>L220*H220-IF(L220&lt;&gt;L219,'Assumptions'!$B$7+'Assumptions'!$B$8,0)</x:f>
        <x:v>-0.010518481304186755</x:v>
      </x:c>
      <x:c r="N220" s="37" t="n">
        <x:f>N219*(1+M220)</x:f>
        <x:v>1.0221280605674241</x:v>
      </x:c>
      <x:c r="O220" s="36" t="n">
        <x:f>H220</x:f>
        <x:v>-0.010518481304186755</x:v>
      </x:c>
      <x:c r="P220" s="37" t="n">
        <x:f>P219*(1+O220)</x:f>
        <x:v>1.2444212457533799</x:v>
      </x:c>
      <x:c r="Q220" s="34" t="n">
        <x:f>MAX(Q219,N220)</x:f>
        <x:v>1.1333794658330407</x:v>
      </x:c>
      <x:c r="R220" s="38" t="n">
        <x:f>N220/Q220-1</x:f>
        <x:v>-0.09815900906925834</x:v>
      </x:c>
      <x:c r="S220" s="39" t="n">
        <x:f>MAX(S219,P220)</x:f>
        <x:v>1.379867690943033</x:v>
      </x:c>
      <x:c r="T220" s="38" t="n">
        <x:f>P220/S220-1</x:f>
        <x:v>-0.0981590090692579</x:v>
      </x:c>
      <x:c r="U220" s="33" t="n">
        <x:f>IF(AND(L220=1,L219=0),1,0)</x:f>
        <x:v>0</x:v>
      </x:c>
      <x:c r="V220" s="33" t="n">
        <x:f>IF(AND(L220=0,L219=1),1,0)</x:f>
        <x:v>0</x:v>
      </x:c>
      <x:c r="W220" s="33" t="n">
        <x:f>IF(L220=K219,0,1)</x:f>
        <x:v>0</x:v>
      </x:c>
    </x:row>
    <x:row r="221">
      <x:c r="A221" s="29" t="n">
        <x:v>46170.5625</x:v>
      </x:c>
      <x:c r="B221" s="30" t="n">
        <x:v>211.27999877929688</x:v>
      </x:c>
      <x:c r="C221" s="30" t="n">
        <x:v>215.52000427246094</x:v>
      </x:c>
      <x:c r="D221" s="30" t="n">
        <x:v>211.22000122070312</x:v>
      </x:c>
      <x:c r="E221" s="30" t="n">
        <x:v>214.25</x:v>
      </x:c>
      <x:c r="F221" s="30" t="n">
        <x:v>214.00057983398438</x:v>
      </x:c>
      <x:c r="G221" s="31" t="n">
        <x:v>143996000</x:v>
      </x:c>
      <x:c r="H221" s="32" t="n">
        <x:f>F221/F220-1</x:f>
        <x:v>0.007761016341909066</x:v>
      </x:c>
      <x:c r="I221" s="35" t="n">
        <x:f>AVERAGE(F202:F221)</x:f>
        <x:v>214.62935256958008</x:v>
      </x:c>
      <x:c r="J221" s="35" t="n">
        <x:f>AVERAGE(F172:F221)</x:f>
        <x:v>198.50264709472657</x:v>
      </x:c>
      <x:c r="K221" s="33" t="n">
        <x:f>IF(COUNT(I221:J221)=2,IF(I221&gt;J221,1,0),0)</x:f>
        <x:v>1</x:v>
      </x:c>
      <x:c r="L221" s="33" t="n">
        <x:f>K220</x:f>
        <x:v>1</x:v>
      </x:c>
      <x:c r="M221" s="36" t="n">
        <x:f>L221*H221-IF(L221&lt;&gt;L220,'Assumptions'!$B$7+'Assumptions'!$B$8,0)</x:f>
        <x:v>0.007761016341909066</x:v>
      </x:c>
      <x:c r="N221" s="37" t="n">
        <x:f>N220*(1+M221)</x:f>
        <x:v>1.0300608131490117</x:v>
      </x:c>
      <x:c r="O221" s="36" t="n">
        <x:f>H221</x:f>
        <x:v>0.007761016341909066</x:v>
      </x:c>
      <x:c r="P221" s="37" t="n">
        <x:f>P220*(1+O221)</x:f>
        <x:v>1.2540792193778907</x:v>
      </x:c>
      <x:c r="Q221" s="34" t="n">
        <x:f>MAX(Q220,N221)</x:f>
        <x:v>1.1333794658330407</x:v>
      </x:c>
      <x:c r="R221" s="38" t="n">
        <x:f>N221/Q221-1</x:f>
        <x:v>-0.09115980640084143</x:v>
      </x:c>
      <x:c r="S221" s="39" t="n">
        <x:f>MAX(S220,P221)</x:f>
        <x:v>1.379867690943033</x:v>
      </x:c>
      <x:c r="T221" s="38" t="n">
        <x:f>P221/S221-1</x:f>
        <x:v>-0.09115980640084087</x:v>
      </x:c>
      <x:c r="U221" s="33" t="n">
        <x:f>IF(AND(L221=1,L220=0),1,0)</x:f>
        <x:v>0</x:v>
      </x:c>
      <x:c r="V221" s="33" t="n">
        <x:f>IF(AND(L221=0,L220=1),1,0)</x:f>
        <x:v>0</x:v>
      </x:c>
      <x:c r="W221" s="33" t="n">
        <x:f>IF(L221=K220,0,1)</x:f>
        <x:v>0</x:v>
      </x:c>
    </x:row>
    <x:row r="222">
      <x:c r="A222" s="29" t="n">
        <x:v>46171.5625</x:v>
      </x:c>
      <x:c r="B222" s="30" t="n">
        <x:v>214.5800018310547</x:v>
      </x:c>
      <x:c r="C222" s="30" t="n">
        <x:v>217.86000061035156</x:v>
      </x:c>
      <x:c r="D222" s="30" t="n">
        <x:v>211.1300048828125</x:v>
      </x:c>
      <x:c r="E222" s="30" t="n">
        <x:v>211.13999938964844</x:v>
      </x:c>
      <x:c r="F222" s="30" t="n">
        <x:v>210.8942108154297</x:v>
      </x:c>
      <x:c r="G222" s="31" t="n">
        <x:v>289410600</x:v>
      </x:c>
      <x:c r="H222" s="32" t="n">
        <x:f>F222/F221-1</x:f>
        <x:v>-0.014515703746992292</x:v>
      </x:c>
      <x:c r="I222" s="35" t="n">
        <x:f>AVERAGE(F203:F222)</x:f>
        <x:v>215.2071792602539</x:v>
      </x:c>
      <x:c r="J222" s="35" t="n">
        <x:f>AVERAGE(F173:F222)</x:f>
        <x:v>199.1167315673828</x:v>
      </x:c>
      <x:c r="K222" s="33" t="n">
        <x:f>IF(COUNT(I222:J222)=2,IF(I222&gt;J222,1,0),0)</x:f>
        <x:v>1</x:v>
      </x:c>
      <x:c r="L222" s="33" t="n">
        <x:f>K221</x:f>
        <x:v>1</x:v>
      </x:c>
      <x:c r="M222" s="36" t="n">
        <x:f>L222*H222-IF(L222&lt;&gt;L221,'Assumptions'!$B$7+'Assumptions'!$B$8,0)</x:f>
        <x:v>-0.014515703746992292</x:v>
      </x:c>
      <x:c r="N222" s="37" t="n">
        <x:f>N221*(1+M222)</x:f>
        <x:v>1.0151087555439546</x:v>
      </x:c>
      <x:c r="O222" s="36" t="n">
        <x:f>H222</x:f>
        <x:v>-0.014515703746992292</x:v>
      </x:c>
      <x:c r="P222" s="37" t="n">
        <x:f>P221*(1+O222)</x:f>
        <x:v>1.235875376954142</x:v>
      </x:c>
      <x:c r="Q222" s="34" t="n">
        <x:f>MAX(Q221,N222)</x:f>
        <x:v>1.1333794658330407</x:v>
      </x:c>
      <x:c r="R222" s="38" t="n">
        <x:f>N222/Q222-1</x:f>
        <x:v>-0.10435226140448595</x:v>
      </x:c>
      <x:c r="S222" s="39" t="n">
        <x:f>MAX(S221,P222)</x:f>
        <x:v>1.379867690943033</x:v>
      </x:c>
      <x:c r="T222" s="38" t="n">
        <x:f>P222/S222-1</x:f>
        <x:v>-0.10435226140448539</x:v>
      </x:c>
      <x:c r="U222" s="33" t="n">
        <x:f>IF(AND(L222=1,L221=0),1,0)</x:f>
        <x:v>0</x:v>
      </x:c>
      <x:c r="V222" s="33" t="n">
        <x:f>IF(AND(L222=0,L221=1),1,0)</x:f>
        <x:v>0</x:v>
      </x:c>
      <x:c r="W222" s="33" t="n">
        <x:f>IF(L222=K221,0,1)</x:f>
        <x:v>0</x:v>
      </x:c>
    </x:row>
    <x:row r="223">
      <x:c r="A223" s="29" t="n">
        <x:v>46174.5625</x:v>
      </x:c>
      <x:c r="B223" s="30" t="n">
        <x:v>215.72999572753906</x:v>
      </x:c>
      <x:c r="C223" s="30" t="n">
        <x:v>224.8699951171875</x:v>
      </x:c>
      <x:c r="D223" s="30" t="n">
        <x:v>215.6999969482422</x:v>
      </x:c>
      <x:c r="E223" s="30" t="n">
        <x:v>224.36000061035156</x:v>
      </x:c>
      <x:c r="F223" s="30" t="n">
        <x:v>224.09881591796875</x:v>
      </x:c>
      <x:c r="G223" s="31" t="n">
        <x:v>212850700</x:v>
      </x:c>
      <x:c r="H223" s="32" t="n">
        <x:f>F223/F222-1</x:f>
        <x:v>0.0626124588791841</x:v>
      </x:c>
      <x:c r="I223" s="35" t="n">
        <x:f>AVERAGE(F204:F223)</x:f>
        <x:v>216.50117111206055</x:v>
      </x:c>
      <x:c r="J223" s="35" t="n">
        <x:f>AVERAGE(F174:F223)</x:f>
        <x:v>200.0316653442383</x:v>
      </x:c>
      <x:c r="K223" s="33" t="n">
        <x:f>IF(COUNT(I223:J223)=2,IF(I223&gt;J223,1,0),0)</x:f>
        <x:v>1</x:v>
      </x:c>
      <x:c r="L223" s="33" t="n">
        <x:f>K222</x:f>
        <x:v>1</x:v>
      </x:c>
      <x:c r="M223" s="36" t="n">
        <x:f>L223*H223-IF(L223&lt;&gt;L222,'Assumptions'!$B$7+'Assumptions'!$B$8,0)</x:f>
        <x:v>0.0626124588791841</x:v>
      </x:c>
      <x:c r="N223" s="37" t="n">
        <x:f>N222*(1+M223)</x:f>
        <x:v>1.0786672107583501</x:v>
      </x:c>
      <x:c r="O223" s="36" t="n">
        <x:f>H223</x:f>
        <x:v>0.0626124588791841</x:v>
      </x:c>
      <x:c r="P223" s="37" t="n">
        <x:f>P222*(1+O223)</x:f>
        <x:v>1.3132565731734793</x:v>
      </x:c>
      <x:c r="Q223" s="34" t="n">
        <x:f>MAX(Q222,N223)</x:f>
        <x:v>1.1333794658330407</x:v>
      </x:c>
      <x:c r="R223" s="38" t="n">
        <x:f>N223/Q223-1</x:f>
        <x:v>-0.048273554201440194</x:v>
      </x:c>
      <x:c r="S223" s="39" t="n">
        <x:f>MAX(S222,P223)</x:f>
        <x:v>1.379867690943033</x:v>
      </x:c>
      <x:c r="T223" s="38" t="n">
        <x:f>P223/S223-1</x:f>
        <x:v>-0.04827355420143953</x:v>
      </x:c>
      <x:c r="U223" s="33" t="n">
        <x:f>IF(AND(L223=1,L222=0),1,0)</x:f>
        <x:v>0</x:v>
      </x:c>
      <x:c r="V223" s="33" t="n">
        <x:f>IF(AND(L223=0,L222=1),1,0)</x:f>
        <x:v>0</x:v>
      </x:c>
      <x:c r="W223" s="33" t="n">
        <x:f>IF(L223=K222,0,1)</x:f>
        <x:v>0</x:v>
      </x:c>
    </x:row>
    <x:row r="224">
      <x:c r="A224" s="29" t="n">
        <x:v>46175.5625</x:v>
      </x:c>
      <x:c r="B224" s="30" t="n">
        <x:v>227.17999267578125</x:v>
      </x:c>
      <x:c r="C224" s="30" t="n">
        <x:v>232.27999877929688</x:v>
      </x:c>
      <x:c r="D224" s="30" t="n">
        <x:v>221.35000610351562</x:v>
      </x:c>
      <x:c r="E224" s="30" t="n">
        <x:v>222.82000732421875</x:v>
      </x:c>
      <x:c r="F224" s="30" t="n">
        <x:v>222.56060791015625</x:v>
      </x:c>
      <x:c r="G224" s="31" t="n">
        <x:v>193362900</x:v>
      </x:c>
      <x:c r="H224" s="32" t="n">
        <x:f>F224/F223-1</x:f>
        <x:v>-0.006863972045151545</x:v>
      </x:c>
      <x:c r="I224" s="35" t="n">
        <x:f>AVERAGE(F205:F224)</x:f>
        <x:v>217.71675491333008</x:v>
      </x:c>
      <x:c r="J224" s="35" t="n">
        <x:f>AVERAGE(F175:F224)</x:f>
        <x:v>201.0328985595703</x:v>
      </x:c>
      <x:c r="K224" s="33" t="n">
        <x:f>IF(COUNT(I224:J224)=2,IF(I224&gt;J224,1,0),0)</x:f>
        <x:v>1</x:v>
      </x:c>
      <x:c r="L224" s="33" t="n">
        <x:f>K223</x:f>
        <x:v>1</x:v>
      </x:c>
      <x:c r="M224" s="36" t="n">
        <x:f>L224*H224-IF(L224&lt;&gt;L223,'Assumptions'!$B$7+'Assumptions'!$B$8,0)</x:f>
        <x:v>-0.006863972045151545</x:v>
      </x:c>
      <x:c r="N224" s="37" t="n">
        <x:f>N223*(1+M224)</x:f>
        <x:v>1.0712632691776833</x:v>
      </x:c>
      <x:c r="O224" s="36" t="n">
        <x:f>H224</x:f>
        <x:v>-0.006863972045151545</x:v>
      </x:c>
      <x:c r="P224" s="37" t="n">
        <x:f>P223*(1+O224)</x:f>
        <x:v>1.304242416767105</x:v>
      </x:c>
      <x:c r="Q224" s="34" t="n">
        <x:f>MAX(Q223,N224)</x:f>
        <x:v>1.1333794658330407</x:v>
      </x:c>
      <x:c r="R224" s="38" t="n">
        <x:f>N224/Q224-1</x:f>
        <x:v>-0.05480617792003284</x:v>
      </x:c>
      <x:c r="S224" s="39" t="n">
        <x:f>MAX(S223,P224)</x:f>
        <x:v>1.379867690943033</x:v>
      </x:c>
      <x:c r="T224" s="38" t="n">
        <x:f>P224/S224-1</x:f>
        <x:v>-0.054806177920032284</x:v>
      </x:c>
      <x:c r="U224" s="33" t="n">
        <x:f>IF(AND(L224=1,L223=0),1,0)</x:f>
        <x:v>0</x:v>
      </x:c>
      <x:c r="V224" s="33" t="n">
        <x:f>IF(AND(L224=0,L223=1),1,0)</x:f>
        <x:v>0</x:v>
      </x:c>
      <x:c r="W224" s="33" t="n">
        <x:f>IF(L224=K223,0,1)</x:f>
        <x:v>0</x:v>
      </x:c>
    </x:row>
    <x:row r="225">
      <x:c r="A225" s="29" t="n">
        <x:v>46176.5625</x:v>
      </x:c>
      <x:c r="B225" s="30" t="n">
        <x:v>221.72000122070312</x:v>
      </x:c>
      <x:c r="C225" s="30" t="n">
        <x:v>222.82000732421875</x:v>
      </x:c>
      <x:c r="D225" s="30" t="n">
        <x:v>214.50999450683594</x:v>
      </x:c>
      <x:c r="E225" s="30" t="n">
        <x:v>214.75</x:v>
      </x:c>
      <x:c r="F225" s="30" t="n">
        <x:v>214.5</x:v>
      </x:c>
      <x:c r="G225" s="31" t="n">
        <x:v>160907000</x:v>
      </x:c>
      <x:c r="H225" s="32" t="n">
        <x:f>F225/F224-1</x:f>
        <x:v>-0.03621758578863232</x:v>
      </x:c>
      <x:c r="I225" s="35" t="n">
        <x:f>AVERAGE(F206:F225)</x:f>
        <x:v>218.62819290161133</x:v>
      </x:c>
      <x:c r="J225" s="35" t="n">
        <x:f>AVERAGE(F176:F225)</x:f>
        <x:v>201.81418792724608</x:v>
      </x:c>
      <x:c r="K225" s="33" t="n">
        <x:f>IF(COUNT(I225:J225)=2,IF(I225&gt;J225,1,0),0)</x:f>
        <x:v>1</x:v>
      </x:c>
      <x:c r="L225" s="33" t="n">
        <x:f>K224</x:f>
        <x:v>1</x:v>
      </x:c>
      <x:c r="M225" s="36" t="n">
        <x:f>L225*H225-IF(L225&lt;&gt;L224,'Assumptions'!$B$7+'Assumptions'!$B$8,0)</x:f>
        <x:v>-0.03621758578863232</x:v>
      </x:c>
      <x:c r="N225" s="37" t="n">
        <x:f>N224*(1+M225)</x:f>
        <x:v>1.0324646998240299</x:v>
      </x:c>
      <x:c r="O225" s="36" t="n">
        <x:f>H225</x:f>
        <x:v>-0.03621758578863232</x:v>
      </x:c>
      <x:c r="P225" s="37" t="n">
        <x:f>P224*(1+O225)</x:f>
        <x:v>1.2570059051486693</x:v>
      </x:c>
      <x:c r="Q225" s="34" t="n">
        <x:f>MAX(Q224,N225)</x:f>
        <x:v>1.1333794658330407</x:v>
      </x:c>
      <x:c r="R225" s="38" t="n">
        <x:f>N225/Q225-1</x:f>
        <x:v>-0.08903881625809928</x:v>
      </x:c>
      <x:c r="S225" s="39" t="n">
        <x:f>MAX(S224,P225)</x:f>
        <x:v>1.379867690943033</x:v>
      </x:c>
      <x:c r="T225" s="38" t="n">
        <x:f>P225/S225-1</x:f>
        <x:v>-0.08903881625809873</x:v>
      </x:c>
      <x:c r="U225" s="33" t="n">
        <x:f>IF(AND(L225=1,L224=0),1,0)</x:f>
        <x:v>0</x:v>
      </x:c>
      <x:c r="V225" s="33" t="n">
        <x:f>IF(AND(L225=0,L224=1),1,0)</x:f>
        <x:v>0</x:v>
      </x:c>
      <x:c r="W225" s="33" t="n">
        <x:f>IF(L225=K224,0,1)</x:f>
        <x:v>0</x:v>
      </x:c>
    </x:row>
    <x:row r="226">
      <x:c r="A226" s="29" t="n">
        <x:v>46177.5625</x:v>
      </x:c>
      <x:c r="B226" s="30" t="n">
        <x:v>213.91000366210938</x:v>
      </x:c>
      <x:c r="C226" s="30" t="n">
        <x:v>221.60000610351562</x:v>
      </x:c>
      <x:c r="D226" s="30" t="n">
        <x:v>210.97000122070312</x:v>
      </x:c>
      <x:c r="E226" s="30" t="n">
        <x:v>218.66000366210938</x:v>
      </x:c>
      <x:c r="F226" s="30" t="n">
        <x:v>218.66000366210938</x:v>
      </x:c>
      <x:c r="G226" s="31" t="n">
        <x:v>169022200</x:v>
      </x:c>
      <x:c r="H226" s="32" t="n">
        <x:f>F226/F225-1</x:f>
        <x:v>0.01939395646671027</x:v>
      </x:c>
      <x:c r="I226" s="35" t="n">
        <x:f>AVERAGE(F207:F226)</x:f>
        <x:v>219.18179016113282</x:v>
      </x:c>
      <x:c r="J226" s="35" t="n">
        <x:f>AVERAGE(F177:F226)</x:f>
        <x:v>202.6874673461914</x:v>
      </x:c>
      <x:c r="K226" s="33" t="n">
        <x:f>IF(COUNT(I226:J226)=2,IF(I226&gt;J226,1,0),0)</x:f>
        <x:v>1</x:v>
      </x:c>
      <x:c r="L226" s="33" t="n">
        <x:f>K225</x:f>
        <x:v>1</x:v>
      </x:c>
      <x:c r="M226" s="36" t="n">
        <x:f>L226*H226-IF(L226&lt;&gt;L225,'Assumptions'!$B$7+'Assumptions'!$B$8,0)</x:f>
        <x:v>0.01939395646671027</x:v>
      </x:c>
      <x:c r="N226" s="37" t="n">
        <x:f>N225*(1+M226)</x:f>
        <x:v>1.0524882752658322</x:v>
      </x:c>
      <x:c r="O226" s="36" t="n">
        <x:f>H226</x:f>
        <x:v>0.01939395646671027</x:v>
      </x:c>
      <x:c r="P226" s="37" t="n">
        <x:f>P225*(1+O226)</x:f>
        <x:v>1.2813842229515202</x:v>
      </x:c>
      <x:c r="Q226" s="34" t="n">
        <x:f>MAX(Q225,N226)</x:f>
        <x:v>1.1333794658330407</x:v>
      </x:c>
      <x:c r="R226" s="38" t="n">
        <x:f>N226/Q226-1</x:f>
        <x:v>-0.07137167471774597</x:v>
      </x:c>
      <x:c r="S226" s="39" t="n">
        <x:f>MAX(S225,P226)</x:f>
        <x:v>1.379867690943033</x:v>
      </x:c>
      <x:c r="T226" s="38" t="n">
        <x:f>P226/S226-1</x:f>
        <x:v>-0.07137167471774553</x:v>
      </x:c>
      <x:c r="U226" s="33" t="n">
        <x:f>IF(AND(L226=1,L225=0),1,0)</x:f>
        <x:v>0</x:v>
      </x:c>
      <x:c r="V226" s="33" t="n">
        <x:f>IF(AND(L226=0,L225=1),1,0)</x:f>
        <x:v>0</x:v>
      </x:c>
      <x:c r="W226" s="33" t="n">
        <x:f>IF(L226=K225,0,1)</x:f>
        <x:v>0</x:v>
      </x:c>
    </x:row>
    <x:row r="227">
      <x:c r="A227" s="29" t="n">
        <x:v>46178.5625</x:v>
      </x:c>
      <x:c r="B227" s="30" t="n">
        <x:v>214.52999877929688</x:v>
      </x:c>
      <x:c r="C227" s="30" t="n">
        <x:v>214.8699951171875</x:v>
      </x:c>
      <x:c r="D227" s="30" t="n">
        <x:v>204.3300018310547</x:v>
      </x:c>
      <x:c r="E227" s="30" t="n">
        <x:v>205.10000610351562</x:v>
      </x:c>
      <x:c r="F227" s="30" t="n">
        <x:v>205.10000610351562</x:v>
      </x:c>
      <x:c r="G227" s="31" t="n">
        <x:v>219655500</x:v>
      </x:c>
      <x:c r="H227" s="32" t="n">
        <x:f>F227/F226-1</x:f>
        <x:v>-0.062014073591381225</x:v>
      </x:c>
      <x:c r="I227" s="35" t="n">
        <x:f>AVERAGE(F208:F227)</x:f>
        <x:v>218.8741012573242</x:v>
      </x:c>
      <x:c r="J227" s="35" t="n">
        <x:f>AVERAGE(F178:F227)</x:f>
        <x:v>203.2200277709961</x:v>
      </x:c>
      <x:c r="K227" s="33" t="n">
        <x:f>IF(COUNT(I227:J227)=2,IF(I227&gt;J227,1,0),0)</x:f>
        <x:v>1</x:v>
      </x:c>
      <x:c r="L227" s="33" t="n">
        <x:f>K226</x:f>
        <x:v>1</x:v>
      </x:c>
      <x:c r="M227" s="36" t="n">
        <x:f>L227*H227-IF(L227&lt;&gt;L226,'Assumptions'!$B$7+'Assumptions'!$B$8,0)</x:f>
        <x:v>-0.062014073591381225</x:v>
      </x:c>
      <x:c r="N227" s="37" t="n">
        <x:f>N226*(1+M227)</x:f>
        <x:v>0.987219189909431</x:v>
      </x:c>
      <x:c r="O227" s="36" t="n">
        <x:f>H227</x:f>
        <x:v>-0.062014073591381225</x:v>
      </x:c>
      <x:c r="P227" s="37" t="n">
        <x:f>P226*(1+O227)</x:f>
        <x:v>1.2019203674505698</x:v>
      </x:c>
      <x:c r="Q227" s="34" t="n">
        <x:f>MAX(Q226,N227)</x:f>
        <x:v>1.1333794658330407</x:v>
      </x:c>
      <x:c r="R227" s="38" t="n">
        <x:f>N227/Q227-1</x:f>
        <x:v>-0.12895970002084078</x:v>
      </x:c>
      <x:c r="S227" s="39" t="n">
        <x:f>MAX(S226,P227)</x:f>
        <x:v>1.379867690943033</x:v>
      </x:c>
      <x:c r="T227" s="38" t="n">
        <x:f>P227/S227-1</x:f>
        <x:v>-0.12895970002084034</x:v>
      </x:c>
      <x:c r="U227" s="33" t="n">
        <x:f>IF(AND(L227=1,L226=0),1,0)</x:f>
        <x:v>0</x:v>
      </x:c>
      <x:c r="V227" s="33" t="n">
        <x:f>IF(AND(L227=0,L226=1),1,0)</x:f>
        <x:v>0</x:v>
      </x:c>
      <x:c r="W227" s="33" t="n">
        <x:f>IF(L227=K226,0,1)</x:f>
        <x:v>0</x:v>
      </x:c>
    </x:row>
    <x:row r="228">
      <x:c r="A228" s="29" t="n">
        <x:v>46181.5625</x:v>
      </x:c>
      <x:c r="B228" s="30" t="n">
        <x:v>210.17999267578125</x:v>
      </x:c>
      <x:c r="C228" s="30" t="n">
        <x:v>210.47000122070312</x:v>
      </x:c>
      <x:c r="D228" s="30" t="n">
        <x:v>206</x:v>
      </x:c>
      <x:c r="E228" s="30" t="n">
        <x:v>208.63999938964844</x:v>
      </x:c>
      <x:c r="F228" s="30" t="n">
        <x:v>208.63999938964844</x:v>
      </x:c>
      <x:c r="G228" s="31" t="n">
        <x:v>138372800</x:v>
      </x:c>
      <x:c r="H228" s="32" t="n">
        <x:f>F228/F227-1</x:f>
        <x:v>0.017259839984335112</x:v>
      </x:c>
      <x:c r="I228" s="35" t="n">
        <x:f>AVERAGE(F209:F228)</x:f>
        <x:v>218.55862731933593</x:v>
      </x:c>
      <x:c r="J228" s="35" t="n">
        <x:f>AVERAGE(F179:F228)</x:f>
        <x:v>203.97201446533202</x:v>
      </x:c>
      <x:c r="K228" s="33" t="n">
        <x:f>IF(COUNT(I228:J228)=2,IF(I228&gt;J228,1,0),0)</x:f>
        <x:v>1</x:v>
      </x:c>
      <x:c r="L228" s="33" t="n">
        <x:f>K227</x:f>
        <x:v>1</x:v>
      </x:c>
      <x:c r="M228" s="36" t="n">
        <x:f>L228*H228-IF(L228&lt;&gt;L227,'Assumptions'!$B$7+'Assumptions'!$B$8,0)</x:f>
        <x:v>0.017259839984335112</x:v>
      </x:c>
      <x:c r="N228" s="37" t="n">
        <x:f>N227*(1+M228)</x:f>
        <x:v>1.0042584351567327</x:v>
      </x:c>
      <x:c r="O228" s="36" t="n">
        <x:f>H228</x:f>
        <x:v>0.017259839984335112</x:v>
      </x:c>
      <x:c r="P228" s="37" t="n">
        <x:f>P227*(1+O228)</x:f>
        <x:v>1.22266532066668</x:v>
      </x:c>
      <x:c r="Q228" s="34" t="n">
        <x:f>MAX(Q227,N228)</x:f>
        <x:v>1.1333794658330407</x:v>
      </x:c>
      <x:c r="R228" s="38" t="n">
        <x:f>N228/Q228-1</x:f>
        <x:v>-0.11392568382329327</x:v>
      </x:c>
      <x:c r="S228" s="39" t="n">
        <x:f>MAX(S227,P228)</x:f>
        <x:v>1.379867690943033</x:v>
      </x:c>
      <x:c r="T228" s="38" t="n">
        <x:f>P228/S228-1</x:f>
        <x:v>-0.11392568382329271</x:v>
      </x:c>
      <x:c r="U228" s="33" t="n">
        <x:f>IF(AND(L228=1,L227=0),1,0)</x:f>
        <x:v>0</x:v>
      </x:c>
      <x:c r="V228" s="33" t="n">
        <x:f>IF(AND(L228=0,L227=1),1,0)</x:f>
        <x:v>0</x:v>
      </x:c>
      <x:c r="W228" s="33" t="n">
        <x:f>IF(L228=K227,0,1)</x:f>
        <x:v>0</x:v>
      </x:c>
    </x:row>
    <x:row r="229">
      <x:c r="A229" s="29" t="n">
        <x:v>46182.5625</x:v>
      </x:c>
      <x:c r="B229" s="30" t="n">
        <x:v>210.6199951171875</x:v>
      </x:c>
      <x:c r="C229" s="30" t="n">
        <x:v>211.39999389648438</x:v>
      </x:c>
      <x:c r="D229" s="30" t="n">
        <x:v>199.33999633789062</x:v>
      </x:c>
      <x:c r="E229" s="30" t="n">
        <x:v>208.19000244140625</x:v>
      </x:c>
      <x:c r="F229" s="30" t="n">
        <x:v>208.19000244140625</x:v>
      </x:c>
      <x:c r="G229" s="31" t="n">
        <x:v>180962500</x:v>
      </x:c>
      <x:c r="H229" s="32" t="n">
        <x:f>F229/F228-1</x:f>
        <x:v>-0.0021568105327770537</x:v>
      </x:c>
      <x:c r="I229" s="35" t="n">
        <x:f>AVERAGE(F210:F229)</x:f>
        <x:v>218.00890045166017</x:v>
      </x:c>
      <x:c r="J229" s="35" t="n">
        <x:f>AVERAGE(F180:F229)</x:f>
        <x:v>204.78931488037108</x:v>
      </x:c>
      <x:c r="K229" s="33" t="n">
        <x:f>IF(COUNT(I229:J229)=2,IF(I229&gt;J229,1,0),0)</x:f>
        <x:v>1</x:v>
      </x:c>
      <x:c r="L229" s="33" t="n">
        <x:f>K228</x:f>
        <x:v>1</x:v>
      </x:c>
      <x:c r="M229" s="36" t="n">
        <x:f>L229*H229-IF(L229&lt;&gt;L228,'Assumptions'!$B$7+'Assumptions'!$B$8,0)</x:f>
        <x:v>-0.0021568105327770537</x:v>
      </x:c>
      <x:c r="N229" s="37" t="n">
        <x:f>N228*(1+M229)</x:f>
        <x:v>1.0020924399861566</x:v>
      </x:c>
      <x:c r="O229" s="36" t="n">
        <x:f>H229</x:f>
        <x:v>-0.0021568105327770537</x:v>
      </x:c>
      <x:c r="P229" s="37" t="n">
        <x:f>P228*(1+O229)</x:f>
        <x:v>1.2200282632250048</x:v>
      </x:c>
      <x:c r="Q229" s="34" t="n">
        <x:f>MAX(Q228,N229)</x:f>
        <x:v>1.1333794658330407</x:v>
      </x:c>
      <x:c r="R229" s="38" t="n">
        <x:f>N229/Q229-1</x:f>
        <x:v>-0.11583677824124627</x:v>
      </x:c>
      <x:c r="S229" s="39" t="n">
        <x:f>MAX(S228,P229)</x:f>
        <x:v>1.379867690943033</x:v>
      </x:c>
      <x:c r="T229" s="38" t="n">
        <x:f>P229/S229-1</x:f>
        <x:v>-0.11583677824124594</x:v>
      </x:c>
      <x:c r="U229" s="33" t="n">
        <x:f>IF(AND(L229=1,L228=0),1,0)</x:f>
        <x:v>0</x:v>
      </x:c>
      <x:c r="V229" s="33" t="n">
        <x:f>IF(AND(L229=0,L228=1),1,0)</x:f>
        <x:v>0</x:v>
      </x:c>
      <x:c r="W229" s="33" t="n">
        <x:f>IF(L229=K228,0,1)</x:f>
        <x:v>0</x:v>
      </x:c>
    </x:row>
    <x:row r="230">
      <x:c r="A230" s="29" t="n">
        <x:v>46183.5625</x:v>
      </x:c>
      <x:c r="B230" s="30" t="n">
        <x:v>204.42999267578125</x:v>
      </x:c>
      <x:c r="C230" s="30" t="n">
        <x:v>207.22000122070312</x:v>
      </x:c>
      <x:c r="D230" s="30" t="n">
        <x:v>199.9199981689453</x:v>
      </x:c>
      <x:c r="E230" s="30" t="n">
        <x:v>200.4199981689453</x:v>
      </x:c>
      <x:c r="F230" s="30" t="n">
        <x:v>200.4199981689453</x:v>
      </x:c>
      <x:c r="G230" s="31" t="n">
        <x:v>161746600</x:v>
      </x:c>
      <x:c r="H230" s="32" t="n">
        <x:f>F230/F229-1</x:f>
        <x:v>-0.03732169739825886</x:v>
      </x:c>
      <x:c r="I230" s="35" t="n">
        <x:f>AVERAGE(F211:F230)</x:f>
        <x:v>217.003751373291</x:v>
      </x:c>
      <x:c r="J230" s="35" t="n">
        <x:f>AVERAGE(F181:F230)</x:f>
        <x:v>205.49816040039062</x:v>
      </x:c>
      <x:c r="K230" s="33" t="n">
        <x:f>IF(COUNT(I230:J230)=2,IF(I230&gt;J230,1,0),0)</x:f>
        <x:v>1</x:v>
      </x:c>
      <x:c r="L230" s="33" t="n">
        <x:f>K229</x:f>
        <x:v>1</x:v>
      </x:c>
      <x:c r="M230" s="36" t="n">
        <x:f>L230*H230-IF(L230&lt;&gt;L229,'Assumptions'!$B$7+'Assumptions'!$B$8,0)</x:f>
        <x:v>-0.03732169739825886</x:v>
      </x:c>
      <x:c r="N230" s="37" t="n">
        <x:f>N229*(1+M230)</x:f>
        <x:v>0.9646926491759104</x:v>
      </x:c>
      <x:c r="O230" s="36" t="n">
        <x:f>H230</x:f>
        <x:v>-0.03732169739825886</x:v>
      </x:c>
      <x:c r="P230" s="37" t="n">
        <x:f>P229*(1+O230)</x:f>
        <x:v>1.1744947375675978</x:v>
      </x:c>
      <x:c r="Q230" s="34" t="n">
        <x:f>MAX(Q229,N230)</x:f>
        <x:v>1.1333794658330407</x:v>
      </x:c>
      <x:c r="R230" s="38" t="n">
        <x:f>N230/Q230-1</x:f>
        <x:v>-0.14883525045439616</x:v>
      </x:c>
      <x:c r="S230" s="39" t="n">
        <x:f>MAX(S229,P230)</x:f>
        <x:v>1.379867690943033</x:v>
      </x:c>
      <x:c r="T230" s="38" t="n">
        <x:f>P230/S230-1</x:f>
        <x:v>-0.14883525045439583</x:v>
      </x:c>
      <x:c r="U230" s="33" t="n">
        <x:f>IF(AND(L230=1,L229=0),1,0)</x:f>
        <x:v>0</x:v>
      </x:c>
      <x:c r="V230" s="33" t="n">
        <x:f>IF(AND(L230=0,L229=1),1,0)</x:f>
        <x:v>0</x:v>
      </x:c>
      <x:c r="W230" s="33" t="n">
        <x:f>IF(L230=K229,0,1)</x:f>
        <x:v>0</x:v>
      </x:c>
    </x:row>
    <x:row r="231">
      <x:c r="A231" s="29" t="n">
        <x:v>46184.5625</x:v>
      </x:c>
      <x:c r="B231" s="30" t="n">
        <x:v>201.49000549316406</x:v>
      </x:c>
      <x:c r="C231" s="30" t="n">
        <x:v>205.66000366210938</x:v>
      </x:c>
      <x:c r="D231" s="30" t="n">
        <x:v>199.5399932861328</x:v>
      </x:c>
      <x:c r="E231" s="30" t="n">
        <x:v>204.8699951171875</x:v>
      </x:c>
      <x:c r="F231" s="30" t="n">
        <x:v>204.8699951171875</x:v>
      </x:c>
      <x:c r="G231" s="31" t="n">
        <x:v>158643200</x:v>
      </x:c>
      <x:c r="H231" s="32" t="n">
        <x:f>F231/F230-1</x:f>
        <x:v>0.022203357892913722</x:v>
      </x:c>
      <x:c r="I231" s="35" t="n">
        <x:f>AVERAGE(F212:F231)</x:f>
        <x:v>215.96889572143556</x:v>
      </x:c>
      <x:c r="J231" s="35" t="n">
        <x:f>AVERAGE(F182:F231)</x:f>
        <x:v>206.1116207885742</x:v>
      </x:c>
      <x:c r="K231" s="33" t="n">
        <x:f>IF(COUNT(I231:J231)=2,IF(I231&gt;J231,1,0),0)</x:f>
        <x:v>1</x:v>
      </x:c>
      <x:c r="L231" s="33" t="n">
        <x:f>K230</x:f>
        <x:v>1</x:v>
      </x:c>
      <x:c r="M231" s="36" t="n">
        <x:f>L231*H231-IF(L231&lt;&gt;L230,'Assumptions'!$B$7+'Assumptions'!$B$8,0)</x:f>
        <x:v>0.022203357892913722</x:v>
      </x:c>
      <x:c r="N231" s="37" t="n">
        <x:f>N230*(1+M231)</x:f>
        <x:v>0.9861120653222262</x:v>
      </x:c>
      <x:c r="O231" s="36" t="n">
        <x:f>H231</x:f>
        <x:v>0.022203357892913722</x:v>
      </x:c>
      <x:c r="P231" s="37" t="n">
        <x:f>P230*(1+O231)</x:f>
        <x:v>1.200572464569155</x:v>
      </x:c>
      <x:c r="Q231" s="34" t="n">
        <x:f>MAX(Q230,N231)</x:f>
        <x:v>1.1333794658330407</x:v>
      </x:c>
      <x:c r="R231" s="38" t="n">
        <x:f>N231/Q231-1</x:f>
        <x:v>-0.12993653489440282</x:v>
      </x:c>
      <x:c r="S231" s="39" t="n">
        <x:f>MAX(S230,P231)</x:f>
        <x:v>1.379867690943033</x:v>
      </x:c>
      <x:c r="T231" s="38" t="n">
        <x:f>P231/S231-1</x:f>
        <x:v>-0.1299365348944026</x:v>
      </x:c>
      <x:c r="U231" s="33" t="n">
        <x:f>IF(AND(L231=1,L230=0),1,0)</x:f>
        <x:v>0</x:v>
      </x:c>
      <x:c r="V231" s="33" t="n">
        <x:f>IF(AND(L231=0,L230=1),1,0)</x:f>
        <x:v>0</x:v>
      </x:c>
      <x:c r="W231" s="33" t="n">
        <x:f>IF(L231=K230,0,1)</x:f>
        <x:v>0</x:v>
      </x:c>
    </x:row>
    <x:row r="232">
      <x:c r="A232" s="29" t="n">
        <x:v>46185.5625</x:v>
      </x:c>
      <x:c r="B232" s="30" t="n">
        <x:v>204.86000061035156</x:v>
      </x:c>
      <x:c r="C232" s="30" t="n">
        <x:v>207.07000732421875</x:v>
      </x:c>
      <x:c r="D232" s="30" t="n">
        <x:v>203.44000244140625</x:v>
      </x:c>
      <x:c r="E232" s="30" t="n">
        <x:v>205.19000244140625</x:v>
      </x:c>
      <x:c r="F232" s="30" t="n">
        <x:v>205.19000244140625</x:v>
      </x:c>
      <x:c r="G232" s="31" t="n">
        <x:v>112001800</x:v>
      </x:c>
      <x:c r="H232" s="32" t="n">
        <x:f>F232/F231-1</x:f>
        <x:v>0.0015620019126554308</x:v>
      </x:c>
      <x:c r="I232" s="35" t="n">
        <x:f>AVERAGE(F213:F232)</x:f>
        <x:v>214.45511703491212</x:v>
      </x:c>
      <x:c r="J232" s="35" t="n">
        <x:f>AVERAGE(F183:F232)</x:f>
        <x:v>206.70451263427734</x:v>
      </x:c>
      <x:c r="K232" s="33" t="n">
        <x:f>IF(COUNT(I232:J232)=2,IF(I232&gt;J232,1,0),0)</x:f>
        <x:v>1</x:v>
      </x:c>
      <x:c r="L232" s="33" t="n">
        <x:f>K231</x:f>
        <x:v>1</x:v>
      </x:c>
      <x:c r="M232" s="36" t="n">
        <x:f>L232*H232-IF(L232&lt;&gt;L231,'Assumptions'!$B$7+'Assumptions'!$B$8,0)</x:f>
        <x:v>0.0015620019126554308</x:v>
      </x:c>
      <x:c r="N232" s="37" t="n">
        <x:f>N231*(1+M232)</x:f>
        <x:v>0.987652374254352</x:v>
      </x:c>
      <x:c r="O232" s="36" t="n">
        <x:f>H232</x:f>
        <x:v>0.0015620019126554308</x:v>
      </x:c>
      <x:c r="P232" s="37" t="n">
        <x:f>P231*(1+O232)</x:f>
        <x:v>1.2024477610550934</x:v>
      </x:c>
      <x:c r="Q232" s="34" t="n">
        <x:f>MAX(Q231,N232)</x:f>
        <x:v>1.1333794658330407</x:v>
      </x:c>
      <x:c r="R232" s="38" t="n">
        <x:f>N232/Q232-1</x:f>
        <x:v>-0.1285774940977763</x:v>
      </x:c>
      <x:c r="S232" s="39" t="n">
        <x:f>MAX(S231,P232)</x:f>
        <x:v>1.379867690943033</x:v>
      </x:c>
      <x:c r="T232" s="38" t="n">
        <x:f>P232/S232-1</x:f>
        <x:v>-0.12857749409777597</x:v>
      </x:c>
      <x:c r="U232" s="33" t="n">
        <x:f>IF(AND(L232=1,L231=0),1,0)</x:f>
        <x:v>0</x:v>
      </x:c>
      <x:c r="V232" s="33" t="n">
        <x:f>IF(AND(L232=0,L231=1),1,0)</x:f>
        <x:v>0</x:v>
      </x:c>
      <x:c r="W232" s="33" t="n">
        <x:f>IF(L232=K231,0,1)</x:f>
        <x:v>0</x:v>
      </x:c>
    </x:row>
    <x:row r="233">
      <x:c r="A233" s="29" t="n">
        <x:v>46188.5625</x:v>
      </x:c>
      <x:c r="B233" s="30" t="n">
        <x:v>208.9199981689453</x:v>
      </x:c>
      <x:c r="C233" s="30" t="n">
        <x:v>212.7100067138672</x:v>
      </x:c>
      <x:c r="D233" s="30" t="n">
        <x:v>208.33999633789062</x:v>
      </x:c>
      <x:c r="E233" s="30" t="n">
        <x:v>212.4499969482422</x:v>
      </x:c>
      <x:c r="F233" s="30" t="n">
        <x:v>212.4499969482422</x:v>
      </x:c>
      <x:c r="G233" s="31" t="n">
        <x:v>149936700</x:v>
      </x:c>
      <x:c r="H233" s="32" t="n">
        <x:f>F233/F232-1</x:f>
        <x:v>0.03538181402824003</x:v>
      </x:c>
      <x:c r="I233" s="35" t="n">
        <x:f>AVERAGE(F214:F233)</x:f>
        <x:v>213.8247314453125</x:v>
      </x:c>
      <x:c r="J233" s="35" t="n">
        <x:f>AVERAGE(F184:F233)</x:f>
        <x:v>207.40984283447267</x:v>
      </x:c>
      <x:c r="K233" s="33" t="n">
        <x:f>IF(COUNT(I233:J233)=2,IF(I233&gt;J233,1,0),0)</x:f>
        <x:v>1</x:v>
      </x:c>
      <x:c r="L233" s="33" t="n">
        <x:f>K232</x:f>
        <x:v>1</x:v>
      </x:c>
      <x:c r="M233" s="36" t="n">
        <x:f>L233*H233-IF(L233&lt;&gt;L232,'Assumptions'!$B$7+'Assumptions'!$B$8,0)</x:f>
        <x:v>0.03538181402824003</x:v>
      </x:c>
      <x:c r="N233" s="37" t="n">
        <x:f>N232*(1+M233)</x:f>
        <x:v>1.0225973068847694</x:v>
      </x:c>
      <x:c r="O233" s="36" t="n">
        <x:f>H233</x:f>
        <x:v>0.03538181402824003</x:v>
      </x:c>
      <x:c r="P233" s="37" t="n">
        <x:f>P232*(1+O233)</x:f>
        <x:v>1.2449925441154184</x:v>
      </x:c>
      <x:c r="Q233" s="34" t="n">
        <x:f>MAX(Q232,N233)</x:f>
        <x:v>1.1333794658330407</x:v>
      </x:c>
      <x:c r="R233" s="38" t="n">
        <x:f>N233/Q233-1</x:f>
        <x:v>-0.09774498505392082</x:v>
      </x:c>
      <x:c r="S233" s="39" t="n">
        <x:f>MAX(S232,P233)</x:f>
        <x:v>1.379867690943033</x:v>
      </x:c>
      <x:c r="T233" s="38" t="n">
        <x:f>P233/S233-1</x:f>
        <x:v>-0.09774498505392049</x:v>
      </x:c>
      <x:c r="U233" s="33" t="n">
        <x:f>IF(AND(L233=1,L232=0),1,0)</x:f>
        <x:v>0</x:v>
      </x:c>
      <x:c r="V233" s="33" t="n">
        <x:f>IF(AND(L233=0,L232=1),1,0)</x:f>
        <x:v>0</x:v>
      </x:c>
      <x:c r="W233" s="33" t="n">
        <x:f>IF(L233=K232,0,1)</x:f>
        <x:v>0</x:v>
      </x:c>
    </x:row>
    <x:row r="234">
      <x:c r="A234" s="29" t="n">
        <x:v>46189.5625</x:v>
      </x:c>
      <x:c r="B234" s="30" t="n">
        <x:v>211.17999267578125</x:v>
      </x:c>
      <x:c r="C234" s="30" t="n">
        <x:v>211.49000549316406</x:v>
      </x:c>
      <x:c r="D234" s="30" t="n">
        <x:v>207.2899932861328</x:v>
      </x:c>
      <x:c r="E234" s="30" t="n">
        <x:v>207.41000366210938</x:v>
      </x:c>
      <x:c r="F234" s="30" t="n">
        <x:v>207.41000366210938</x:v>
      </x:c>
      <x:c r="G234" s="31" t="n">
        <x:v>125694100</x:v>
      </x:c>
      <x:c r="H234" s="32" t="n">
        <x:f>F234/F233-1</x:f>
        <x:v>-0.023723197733726886</x:v>
      </x:c>
      <x:c r="I234" s="35" t="n">
        <x:f>AVERAGE(F215:F234)</x:f>
        <x:v>213.0921714782715</x:v>
      </x:c>
      <x:c r="J234" s="35" t="n">
        <x:f>AVERAGE(F185:F234)</x:f>
        <x:v>208.00937896728516</x:v>
      </x:c>
      <x:c r="K234" s="33" t="n">
        <x:f>IF(COUNT(I234:J234)=2,IF(I234&gt;J234,1,0),0)</x:f>
        <x:v>1</x:v>
      </x:c>
      <x:c r="L234" s="33" t="n">
        <x:f>K233</x:f>
        <x:v>1</x:v>
      </x:c>
      <x:c r="M234" s="36" t="n">
        <x:f>L234*H234-IF(L234&lt;&gt;L233,'Assumptions'!$B$7+'Assumptions'!$B$8,0)</x:f>
        <x:v>-0.023723197733726886</x:v>
      </x:c>
      <x:c r="N234" s="37" t="n">
        <x:f>N233*(1+M234)</x:f>
        <x:v>0.9983380287715654</x:v>
      </x:c>
      <x:c r="O234" s="36" t="n">
        <x:f>H234</x:f>
        <x:v>-0.023723197733726886</x:v>
      </x:c>
      <x:c r="P234" s="37" t="n">
        <x:f>P233*(1+O234)</x:f>
        <x:v>1.2154573398143527</x:v>
      </x:c>
      <x:c r="Q234" s="34" t="n">
        <x:f>MAX(Q233,N234)</x:f>
        <x:v>1.1333794658330407</x:v>
      </x:c>
      <x:c r="R234" s="38" t="n">
        <x:f>N234/Q234-1</x:f>
        <x:v>-0.11914935917973335</x:v>
      </x:c>
      <x:c r="S234" s="39" t="n">
        <x:f>MAX(S233,P234)</x:f>
        <x:v>1.379867690943033</x:v>
      </x:c>
      <x:c r="T234" s="38" t="n">
        <x:f>P234/S234-1</x:f>
        <x:v>-0.11914935917973302</x:v>
      </x:c>
      <x:c r="U234" s="33" t="n">
        <x:f>IF(AND(L234=1,L233=0),1,0)</x:f>
        <x:v>0</x:v>
      </x:c>
      <x:c r="V234" s="33" t="n">
        <x:f>IF(AND(L234=0,L233=1),1,0)</x:f>
        <x:v>0</x:v>
      </x:c>
      <x:c r="W234" s="33" t="n">
        <x:f>IF(L234=K233,0,1)</x:f>
        <x:v>0</x:v>
      </x:c>
    </x:row>
    <x:row r="235">
      <x:c r="A235" s="29" t="n">
        <x:v>46190.5625</x:v>
      </x:c>
      <x:c r="B235" s="30" t="n">
        <x:v>208.52999877929688</x:v>
      </x:c>
      <x:c r="C235" s="30" t="n">
        <x:v>209.2100067138672</x:v>
      </x:c>
      <x:c r="D235" s="30" t="n">
        <x:v>203.0800018310547</x:v>
      </x:c>
      <x:c r="E235" s="30" t="n">
        <x:v>204.64999389648438</x:v>
      </x:c>
      <x:c r="F235" s="30" t="n">
        <x:v>204.64999389648438</x:v>
      </x:c>
      <x:c r="G235" s="31" t="n">
        <x:v>128363500</x:v>
      </x:c>
      <x:c r="H235" s="32" t="n">
        <x:f>F235/F234-1</x:f>
        <x:v>-0.013307023368657411</x:v>
      </x:c>
      <x:c r="I235" s="35" t="n">
        <x:f>AVERAGE(F216:F235)</x:f>
        <x:v>212.30701217651367</x:v>
      </x:c>
      <x:c r="J235" s="35" t="n">
        <x:f>AVERAGE(F186:F235)</x:f>
        <x:v>208.54452545166015</x:v>
      </x:c>
      <x:c r="K235" s="33" t="n">
        <x:f>IF(COUNT(I235:J235)=2,IF(I235&gt;J235,1,0),0)</x:f>
        <x:v>1</x:v>
      </x:c>
      <x:c r="L235" s="33" t="n">
        <x:f>K234</x:f>
        <x:v>1</x:v>
      </x:c>
      <x:c r="M235" s="36" t="n">
        <x:f>L235*H235-IF(L235&lt;&gt;L234,'Assumptions'!$B$7+'Assumptions'!$B$8,0)</x:f>
        <x:v>-0.013307023368657411</x:v>
      </x:c>
      <x:c r="N235" s="37" t="n">
        <x:f>N234*(1+M235)</x:f>
        <x:v>0.9850531212928828</x:v>
      </x:c>
      <x:c r="O235" s="36" t="n">
        <x:f>H235</x:f>
        <x:v>-0.013307023368657411</x:v>
      </x:c>
      <x:c r="P235" s="37" t="n">
        <x:f>P234*(1+O235)</x:f>
        <x:v>1.199283220589837</x:v>
      </x:c>
      <x:c r="Q235" s="34" t="n">
        <x:f>MAX(Q234,N235)</x:f>
        <x:v>1.1333794658330407</x:v>
      </x:c>
      <x:c r="R235" s="38" t="n">
        <x:f>N235/Q235-1</x:f>
        <x:v>-0.1308708592414255</x:v>
      </x:c>
      <x:c r="S235" s="39" t="n">
        <x:f>MAX(S234,P235)</x:f>
        <x:v>1.379867690943033</x:v>
      </x:c>
      <x:c r="T235" s="38" t="n">
        <x:f>P235/S235-1</x:f>
        <x:v>-0.13087085924142516</x:v>
      </x:c>
      <x:c r="U235" s="33" t="n">
        <x:f>IF(AND(L235=1,L234=0),1,0)</x:f>
        <x:v>0</x:v>
      </x:c>
      <x:c r="V235" s="33" t="n">
        <x:f>IF(AND(L235=0,L234=1),1,0)</x:f>
        <x:v>0</x:v>
      </x:c>
      <x:c r="W235" s="33" t="n">
        <x:f>IF(L235=K234,0,1)</x:f>
        <x:v>0</x:v>
      </x:c>
    </x:row>
    <x:row r="236">
      <x:c r="A236" s="29" t="n">
        <x:v>46191.5625</x:v>
      </x:c>
      <x:c r="B236" s="30" t="n">
        <x:v>207.3300018310547</x:v>
      </x:c>
      <x:c r="C236" s="30" t="n">
        <x:v>211.38999938964844</x:v>
      </x:c>
      <x:c r="D236" s="30" t="n">
        <x:v>206.5</x:v>
      </x:c>
      <x:c r="E236" s="30" t="n">
        <x:v>210.69000244140625</x:v>
      </x:c>
      <x:c r="F236" s="30" t="n">
        <x:v>210.69000244140625</x:v>
      </x:c>
      <x:c r="G236" s="31" t="n">
        <x:v>241272000</x:v>
      </x:c>
      <x:c r="H236" s="32" t="n">
        <x:f>F236/F235-1</x:f>
        <x:v>0.029513846689763534</x:v>
      </x:c>
      <x:c r="I236" s="35" t="n">
        <x:f>AVERAGE(F217:F236)</x:f>
        <x:v>211.68101959228517</x:v>
      </x:c>
      <x:c r="J236" s="35" t="n">
        <x:f>AVERAGE(F187:F236)</x:f>
        <x:v>209.12096466064452</x:v>
      </x:c>
      <x:c r="K236" s="33" t="n">
        <x:f>IF(COUNT(I236:J236)=2,IF(I236&gt;J236,1,0),0)</x:f>
        <x:v>1</x:v>
      </x:c>
      <x:c r="L236" s="33" t="n">
        <x:f>K235</x:f>
        <x:v>1</x:v>
      </x:c>
      <x:c r="M236" s="36" t="n">
        <x:f>L236*H236-IF(L236&lt;&gt;L235,'Assumptions'!$B$7+'Assumptions'!$B$8,0)</x:f>
        <x:v>0.029513846689763534</x:v>
      </x:c>
      <x:c r="N236" s="37" t="n">
        <x:f>N235*(1+M236)</x:f>
        <x:v>1.014125828095994</x:v>
      </x:c>
      <x:c r="O236" s="36" t="n">
        <x:f>H236</x:f>
        <x:v>0.029513846689763534</x:v>
      </x:c>
      <x:c r="P236" s="37" t="n">
        <x:f>P235*(1+O236)</x:f>
        <x:v>1.2346786816999313</x:v>
      </x:c>
      <x:c r="Q236" s="34" t="n">
        <x:f>MAX(Q235,N236)</x:f>
        <x:v>1.1333794658330407</x:v>
      </x:c>
      <x:c r="R236" s="38" t="n">
        <x:f>N236/Q236-1</x:f>
        <x:v>-0.10521951502747107</x:v>
      </x:c>
      <x:c r="S236" s="39" t="n">
        <x:f>MAX(S235,P236)</x:f>
        <x:v>1.379867690943033</x:v>
      </x:c>
      <x:c r="T236" s="38" t="n">
        <x:f>P236/S236-1</x:f>
        <x:v>-0.10521951502747062</x:v>
      </x:c>
      <x:c r="U236" s="33" t="n">
        <x:f>IF(AND(L236=1,L235=0),1,0)</x:f>
        <x:v>0</x:v>
      </x:c>
      <x:c r="V236" s="33" t="n">
        <x:f>IF(AND(L236=0,L235=1),1,0)</x:f>
        <x:v>0</x:v>
      </x:c>
      <x:c r="W236" s="33" t="n">
        <x:f>IF(L236=K235,0,1)</x:f>
        <x:v>0</x:v>
      </x:c>
    </x:row>
    <x:row r="237">
      <x:c r="A237" s="29" t="n">
        <x:v>46195.5625</x:v>
      </x:c>
      <x:c r="B237" s="30" t="n">
        <x:v>211.44000244140625</x:v>
      </x:c>
      <x:c r="C237" s="30" t="n">
        <x:v>213.99000549316406</x:v>
      </x:c>
      <x:c r="D237" s="30" t="n">
        <x:v>207.72000122070312</x:v>
      </x:c>
      <x:c r="E237" s="30" t="n">
        <x:v>208.64999389648438</x:v>
      </x:c>
      <x:c r="F237" s="30" t="n">
        <x:v>208.64999389648438</x:v>
      </x:c>
      <x:c r="G237" s="31" t="n">
        <x:v>122041400</x:v>
      </x:c>
      <x:c r="H237" s="32" t="n">
        <x:f>F237/F236-1</x:f>
        <x:v>-0.00968251232276296</x:v>
      </x:c>
      <x:c r="I237" s="35" t="n">
        <x:f>AVERAGE(F218:F237)</x:f>
        <x:v>211.15079650878906</x:v>
      </x:c>
      <x:c r="J237" s="35" t="n">
        <x:f>AVERAGE(F188:F237)</x:f>
        <x:v>209.62004638671874</x:v>
      </x:c>
      <x:c r="K237" s="33" t="n">
        <x:f>IF(COUNT(I237:J237)=2,IF(I237&gt;J237,1,0),0)</x:f>
        <x:v>1</x:v>
      </x:c>
      <x:c r="L237" s="33" t="n">
        <x:f>K236</x:f>
        <x:v>1</x:v>
      </x:c>
      <x:c r="M237" s="36" t="n">
        <x:f>L237*H237-IF(L237&lt;&gt;L236,'Assumptions'!$B$7+'Assumptions'!$B$8,0)</x:f>
        <x:v>-0.00968251232276296</x:v>
      </x:c>
      <x:c r="N237" s="37" t="n">
        <x:f>N236*(1+M237)</x:f>
        <x:v>1.0043065422686224</x:v>
      </x:c>
      <x:c r="O237" s="36" t="n">
        <x:f>H237</x:f>
        <x:v>-0.00968251232276296</x:v>
      </x:c>
      <x:c r="P237" s="37" t="n">
        <x:f>P236*(1+O237)</x:f>
        <x:v>1.222723890149719</x:v>
      </x:c>
      <x:c r="Q237" s="34" t="n">
        <x:f>MAX(Q236,N237)</x:f>
        <x:v>1.1333794658330407</x:v>
      </x:c>
      <x:c r="R237" s="38" t="n">
        <x:f>N237/Q237-1</x:f>
        <x:v>-0.11388323809938539</x:v>
      </x:c>
      <x:c r="S237" s="39" t="n">
        <x:f>MAX(S236,P237)</x:f>
        <x:v>1.379867690943033</x:v>
      </x:c>
      <x:c r="T237" s="38" t="n">
        <x:f>P237/S237-1</x:f>
        <x:v>-0.11388323809938494</x:v>
      </x:c>
      <x:c r="U237" s="33" t="n">
        <x:f>IF(AND(L237=1,L236=0),1,0)</x:f>
        <x:v>0</x:v>
      </x:c>
      <x:c r="V237" s="33" t="n">
        <x:f>IF(AND(L237=0,L236=1),1,0)</x:f>
        <x:v>0</x:v>
      </x:c>
      <x:c r="W237" s="33" t="n">
        <x:f>IF(L237=K236,0,1)</x:f>
        <x:v>0</x:v>
      </x:c>
    </x:row>
    <x:row r="238">
      <x:c r="A238" s="29" t="n">
        <x:v>46196.5625</x:v>
      </x:c>
      <x:c r="B238" s="30" t="n">
        <x:v>202.1699981689453</x:v>
      </x:c>
      <x:c r="C238" s="30" t="n">
        <x:v>203.77000427246094</x:v>
      </x:c>
      <x:c r="D238" s="30" t="n">
        <x:v>200</x:v>
      </x:c>
      <x:c r="E238" s="30" t="n">
        <x:v>200.0399932861328</x:v>
      </x:c>
      <x:c r="F238" s="30" t="n">
        <x:v>200.0399932861328</x:v>
      </x:c>
      <x:c r="G238" s="31" t="n">
        <x:v>153496200</x:v>
      </x:c>
      <x:c r="H238" s="32" t="n">
        <x:f>F238/F237-1</x:f>
        <x:v>-0.04126528091164561</x:v>
      </x:c>
      <x:c r="I238" s="35" t="n">
        <x:f>AVERAGE(F219:F238)</x:f>
        <x:v>210.3988296508789</x:v>
      </x:c>
      <x:c r="J238" s="35" t="n">
        <x:f>AVERAGE(F189:F238)</x:f>
        <x:v>209.85263793945313</x:v>
      </x:c>
      <x:c r="K238" s="33" t="n">
        <x:f>IF(COUNT(I238:J238)=2,IF(I238&gt;J238,1,0),0)</x:f>
        <x:v>1</x:v>
      </x:c>
      <x:c r="L238" s="33" t="n">
        <x:f>K237</x:f>
        <x:v>1</x:v>
      </x:c>
      <x:c r="M238" s="36" t="n">
        <x:f>L238*H238-IF(L238&lt;&gt;L237,'Assumptions'!$B$7+'Assumptions'!$B$8,0)</x:f>
        <x:v>-0.04126528091164561</x:v>
      </x:c>
      <x:c r="N238" s="37" t="n">
        <x:f>N237*(1+M238)</x:f>
        <x:v>0.9628635506805042</x:v>
      </x:c>
      <x:c r="O238" s="36" t="n">
        <x:f>H238</x:f>
        <x:v>-0.04126528091164561</x:v>
      </x:c>
      <x:c r="P238" s="37" t="n">
        <x:f>P237*(1+O238)</x:f>
        <x:v>1.1722678453453108</x:v>
      </x:c>
      <x:c r="Q238" s="34" t="n">
        <x:f>MAX(Q237,N238)</x:f>
        <x:v>1.1333794658330407</x:v>
      </x:c>
      <x:c r="R238" s="38" t="n">
        <x:f>N238/Q238-1</x:f>
        <x:v>-0.15044909519973193</x:v>
      </x:c>
      <x:c r="S238" s="39" t="n">
        <x:f>MAX(S237,P238)</x:f>
        <x:v>1.379867690943033</x:v>
      </x:c>
      <x:c r="T238" s="38" t="n">
        <x:f>P238/S238-1</x:f>
        <x:v>-0.1504490951997316</x:v>
      </x:c>
      <x:c r="U238" s="33" t="n">
        <x:f>IF(AND(L238=1,L237=0),1,0)</x:f>
        <x:v>0</x:v>
      </x:c>
      <x:c r="V238" s="33" t="n">
        <x:f>IF(AND(L238=0,L237=1),1,0)</x:f>
        <x:v>0</x:v>
      </x:c>
      <x:c r="W238" s="33" t="n">
        <x:f>IF(L238=K237,0,1)</x:f>
        <x:v>0</x:v>
      </x:c>
    </x:row>
    <x:row r="239">
      <x:c r="A239" s="29" t="n">
        <x:v>46197.5625</x:v>
      </x:c>
      <x:c r="B239" s="30" t="n">
        <x:v>200.1199951171875</x:v>
      </x:c>
      <x:c r="C239" s="30" t="n">
        <x:v>201.6699981689453</x:v>
      </x:c>
      <x:c r="D239" s="30" t="n">
        <x:v>196.5800018310547</x:v>
      </x:c>
      <x:c r="E239" s="30" t="n">
        <x:v>199</x:v>
      </x:c>
      <x:c r="F239" s="30" t="n">
        <x:v>199</x:v>
      </x:c>
      <x:c r="G239" s="31" t="n">
        <x:v>151810700</x:v>
      </x:c>
      <x:c r="H239" s="32" t="n">
        <x:f>F239/F238-1</x:f>
        <x:v>-0.00519892681982459</x:v>
      </x:c>
      <x:c r="I239" s="35" t="n">
        <x:f>AVERAGE(F220:F239)</x:f>
        <x:v>209.61833572387695</x:v>
      </x:c>
      <x:c r="J239" s="35" t="n">
        <x:f>AVERAGE(F190:F239)</x:f>
        <x:v>210.05084564208985</x:v>
      </x:c>
      <x:c r="K239" s="33" t="n">
        <x:f>IF(COUNT(I239:J239)=2,IF(I239&gt;J239,1,0),0)</x:f>
        <x:v>0</x:v>
      </x:c>
      <x:c r="L239" s="33" t="n">
        <x:f>K238</x:f>
        <x:v>1</x:v>
      </x:c>
      <x:c r="M239" s="36" t="n">
        <x:f>L239*H239-IF(L239&lt;&gt;L238,'Assumptions'!$B$7+'Assumptions'!$B$8,0)</x:f>
        <x:v>-0.00519892681982459</x:v>
      </x:c>
      <x:c r="N239" s="37" t="n">
        <x:f>N238*(1+M239)</x:f>
        <x:v>0.9578576935430398</x:v>
      </x:c>
      <x:c r="O239" s="36" t="n">
        <x:f>H239</x:f>
        <x:v>-0.00519892681982459</x:v>
      </x:c>
      <x:c r="P239" s="37" t="n">
        <x:f>P238*(1+O239)</x:f>
        <x:v>1.166173310604127</x:v>
      </x:c>
      <x:c r="Q239" s="34" t="n">
        <x:f>MAX(Q238,N239)</x:f>
        <x:v>1.1333794658330407</x:v>
      </x:c>
      <x:c r="R239" s="38" t="n">
        <x:f>N239/Q239-1</x:f>
        <x:v>-0.15486584818350424</x:v>
      </x:c>
      <x:c r="S239" s="39" t="n">
        <x:f>MAX(S238,P239)</x:f>
        <x:v>1.379867690943033</x:v>
      </x:c>
      <x:c r="T239" s="38" t="n">
        <x:f>P239/S239-1</x:f>
        <x:v>-0.15486584818350402</x:v>
      </x:c>
      <x:c r="U239" s="33" t="n">
        <x:f>IF(AND(L239=1,L238=0),1,0)</x:f>
        <x:v>0</x:v>
      </x:c>
      <x:c r="V239" s="33" t="n">
        <x:f>IF(AND(L239=0,L238=1),1,0)</x:f>
        <x:v>0</x:v>
      </x:c>
      <x:c r="W239" s="33" t="n">
        <x:f>IF(L239=K238,0,1)</x:f>
        <x:v>0</x:v>
      </x:c>
    </x:row>
    <x:row r="240">
      <x:c r="A240" s="29" t="n">
        <x:v>46198.5625</x:v>
      </x:c>
      <x:c r="B240" s="30" t="n">
        <x:v>200.0800018310547</x:v>
      </x:c>
      <x:c r="C240" s="30" t="n">
        <x:v>200.8000030517578</x:v>
      </x:c>
      <x:c r="D240" s="30" t="n">
        <x:v>192.1300048828125</x:v>
      </x:c>
      <x:c r="E240" s="30" t="n">
        <x:v>195.74000549316406</x:v>
      </x:c>
      <x:c r="F240" s="30" t="n">
        <x:v>195.74000549316406</x:v>
      </x:c>
      <x:c r="G240" s="31" t="n">
        <x:v>149550000</x:v>
      </x:c>
      <x:c r="H240" s="32" t="n">
        <x:f>F240/F239-1</x:f>
        <x:v>-0.016381881943899224</x:v>
      </x:c>
      <x:c r="I240" s="35" t="n">
        <x:f>AVERAGE(F221:F240)</x:f>
        <x:v>208.78771057128907</x:v>
      </x:c>
      <x:c r="J240" s="35" t="n">
        <x:f>AVERAGE(F191:F240)</x:f>
        <x:v>210.0400210571289</x:v>
      </x:c>
      <x:c r="K240" s="33" t="n">
        <x:f>IF(COUNT(I240:J240)=2,IF(I240&gt;J240,1,0),0)</x:f>
        <x:v>0</x:v>
      </x:c>
      <x:c r="L240" s="33" t="n">
        <x:f>K239</x:f>
        <x:v>0</x:v>
      </x:c>
      <x:c r="M240" s="36" t="n">
        <x:f>L240*H240-IF(L240&lt;&gt;L239,'Assumptions'!$B$7+'Assumptions'!$B$8,0)</x:f>
        <x:v>-0.001</x:v>
      </x:c>
      <x:c r="N240" s="37" t="n">
        <x:f>N239*(1+M240)</x:f>
        <x:v>0.9568998358494968</x:v>
      </x:c>
      <x:c r="O240" s="36" t="n">
        <x:f>H240</x:f>
        <x:v>-0.016381881943899224</x:v>
      </x:c>
      <x:c r="P240" s="37" t="n">
        <x:f>P239*(1+O240)</x:f>
        <x:v>1.1470691971036842</x:v>
      </x:c>
      <x:c r="Q240" s="34" t="n">
        <x:f>MAX(Q239,N240)</x:f>
        <x:v>1.1333794658330407</x:v>
      </x:c>
      <x:c r="R240" s="38" t="n">
        <x:f>N240/Q240-1</x:f>
        <x:v>-0.15571098233532077</x:v>
      </x:c>
      <x:c r="S240" s="39" t="n">
        <x:f>MAX(S239,P240)</x:f>
        <x:v>1.379867690943033</x:v>
      </x:c>
      <x:c r="T240" s="38" t="n">
        <x:f>P240/S240-1</x:f>
        <x:v>-0.16871073608531917</x:v>
      </x:c>
      <x:c r="U240" s="33" t="n">
        <x:f>IF(AND(L240=1,L239=0),1,0)</x:f>
        <x:v>0</x:v>
      </x:c>
      <x:c r="V240" s="33" t="n">
        <x:f>IF(AND(L240=0,L239=1),1,0)</x:f>
        <x:v>1</x:v>
      </x:c>
      <x:c r="W240" s="33" t="n">
        <x:f>IF(L240=K239,0,1)</x:f>
        <x:v>0</x:v>
      </x:c>
    </x:row>
    <x:row r="241">
      <x:c r="A241" s="29" t="n">
        <x:v>46199.5625</x:v>
      </x:c>
      <x:c r="B241" s="30" t="n">
        <x:v>193.1199951171875</x:v>
      </x:c>
      <x:c r="C241" s="30" t="n">
        <x:v>195.5500030517578</x:v>
      </x:c>
      <x:c r="D241" s="30" t="n">
        <x:v>191.22000122070312</x:v>
      </x:c>
      <x:c r="E241" s="30" t="n">
        <x:v>192.52999877929688</x:v>
      </x:c>
      <x:c r="F241" s="30" t="n">
        <x:v>192.52999877929688</x:v>
      </x:c>
      <x:c r="G241" s="31" t="n">
        <x:v>179304100</x:v>
      </x:c>
      <x:c r="H241" s="32" t="n">
        <x:f>F241/F240-1</x:f>
        <x:v>-0.016399339040476746</x:v>
      </x:c>
      <x:c r="I241" s="35" t="n">
        <x:f>AVERAGE(F222:F241)</x:f>
        <x:v>207.71418151855468</x:v>
      </x:c>
      <x:c r="J241" s="35" t="n">
        <x:f>AVERAGE(F192:F241)</x:f>
        <x:v>209.91785125732423</x:v>
      </x:c>
      <x:c r="K241" s="33" t="n">
        <x:f>IF(COUNT(I241:J241)=2,IF(I241&gt;J241,1,0),0)</x:f>
        <x:v>0</x:v>
      </x:c>
      <x:c r="L241" s="33" t="n">
        <x:f>K240</x:f>
        <x:v>0</x:v>
      </x:c>
      <x:c r="M241" s="36" t="n">
        <x:f>L241*H241-IF(L241&lt;&gt;L240,'Assumptions'!$B$7+'Assumptions'!$B$8,0)</x:f>
        <x:v>0</x:v>
      </x:c>
      <x:c r="N241" s="37" t="n">
        <x:f>N240*(1+M241)</x:f>
        <x:v>0.9568998358494968</x:v>
      </x:c>
      <x:c r="O241" s="36" t="n">
        <x:f>H241</x:f>
        <x:v>-0.016399339040476746</x:v>
      </x:c>
      <x:c r="P241" s="37" t="n">
        <x:f>P240*(1+O241)</x:f>
        <x:v>1.1282580204374935</x:v>
      </x:c>
      <x:c r="Q241" s="34" t="n">
        <x:f>MAX(Q240,N241)</x:f>
        <x:v>1.1333794658330407</x:v>
      </x:c>
      <x:c r="R241" s="38" t="n">
        <x:f>N241/Q241-1</x:f>
        <x:v>-0.15571098233532077</x:v>
      </x:c>
      <x:c r="S241" s="39" t="n">
        <x:f>MAX(S240,P241)</x:f>
        <x:v>1.379867690943033</x:v>
      </x:c>
      <x:c r="T241" s="38" t="n">
        <x:f>P241/S241-1</x:f>
        <x:v>-0.18234333056496432</x:v>
      </x:c>
      <x:c r="U241" s="33" t="n">
        <x:f>IF(AND(L241=1,L240=0),1,0)</x:f>
        <x:v>0</x:v>
      </x:c>
      <x:c r="V241" s="33" t="n">
        <x:f>IF(AND(L241=0,L240=1),1,0)</x:f>
        <x:v>0</x:v>
      </x:c>
      <x:c r="W241" s="33" t="n">
        <x:f>IF(L241=K240,0,1)</x:f>
        <x:v>0</x:v>
      </x:c>
    </x:row>
    <x:row r="242">
      <x:c r="A242" s="29" t="n">
        <x:v>46202.5625</x:v>
      </x:c>
      <x:c r="B242" s="30" t="n">
        <x:v>193.85000610351562</x:v>
      </x:c>
      <x:c r="C242" s="30" t="n">
        <x:v>196.17999267578125</x:v>
      </x:c>
      <x:c r="D242" s="30" t="n">
        <x:v>189.8000030517578</x:v>
      </x:c>
      <x:c r="E242" s="30" t="n">
        <x:v>194.97000122070312</x:v>
      </x:c>
      <x:c r="F242" s="30" t="n">
        <x:v>194.97000122070312</x:v>
      </x:c>
      <x:c r="G242" s="31" t="n">
        <x:v>148835700</x:v>
      </x:c>
      <x:c r="H242" s="32" t="n">
        <x:f>F242/F241-1</x:f>
        <x:v>0.012673362368860186</x:v>
      </x:c>
      <x:c r="I242" s="35" t="n">
        <x:f>AVERAGE(F223:F242)</x:f>
        <x:v>206.91797103881837</x:v>
      </x:c>
      <x:c r="J242" s="35" t="n">
        <x:f>AVERAGE(F193:F242)</x:f>
        <x:v>209.85486938476564</x:v>
      </x:c>
      <x:c r="K242" s="33" t="n">
        <x:f>IF(COUNT(I242:J242)=2,IF(I242&gt;J242,1,0),0)</x:f>
        <x:v>0</x:v>
      </x:c>
      <x:c r="L242" s="33" t="n">
        <x:f>K241</x:f>
        <x:v>0</x:v>
      </x:c>
      <x:c r="M242" s="36" t="n">
        <x:f>L242*H242-IF(L242&lt;&gt;L241,'Assumptions'!$B$7+'Assumptions'!$B$8,0)</x:f>
        <x:v>0</x:v>
      </x:c>
      <x:c r="N242" s="37" t="n">
        <x:f>N241*(1+M242)</x:f>
        <x:v>0.9568998358494968</x:v>
      </x:c>
      <x:c r="O242" s="36" t="n">
        <x:f>H242</x:f>
        <x:v>0.012673362368860186</x:v>
      </x:c>
      <x:c r="P242" s="37" t="n">
        <x:f>P241*(1+O242)</x:f>
        <x:v>1.1425568431760706</x:v>
      </x:c>
      <x:c r="Q242" s="34" t="n">
        <x:f>MAX(Q241,N242)</x:f>
        <x:v>1.1333794658330407</x:v>
      </x:c>
      <x:c r="R242" s="38" t="n">
        <x:f>N242/Q242-1</x:f>
        <x:v>-0.15571098233532077</x:v>
      </x:c>
      <x:c r="S242" s="39" t="n">
        <x:f>MAX(S241,P242)</x:f>
        <x:v>1.379867690943033</x:v>
      </x:c>
      <x:c r="T242" s="38" t="n">
        <x:f>P242/S242-1</x:f>
        <x:v>-0.1719808712998988</x:v>
      </x:c>
      <x:c r="U242" s="33" t="n">
        <x:f>IF(AND(L242=1,L241=0),1,0)</x:f>
        <x:v>0</x:v>
      </x:c>
      <x:c r="V242" s="33" t="n">
        <x:f>IF(AND(L242=0,L241=1),1,0)</x:f>
        <x:v>0</x:v>
      </x:c>
      <x:c r="W242" s="33" t="n">
        <x:f>IF(L242=K241,0,1)</x:f>
        <x:v>0</x:v>
      </x:c>
    </x:row>
    <x:row r="243">
      <x:c r="A243" s="29" t="n">
        <x:v>46203.5625</x:v>
      </x:c>
      <x:c r="B243" s="30" t="n">
        <x:v>197.24000549316406</x:v>
      </x:c>
      <x:c r="C243" s="30" t="n">
        <x:v>200.6300048828125</x:v>
      </x:c>
      <x:c r="D243" s="30" t="n">
        <x:v>195.11000061035156</x:v>
      </x:c>
      <x:c r="E243" s="30" t="n">
        <x:v>200.08999633789062</x:v>
      </x:c>
      <x:c r="F243" s="30" t="n">
        <x:v>200.08999633789062</x:v>
      </x:c>
      <x:c r="G243" s="31" t="n">
        <x:v>166476700</x:v>
      </x:c>
      <x:c r="H243" s="32" t="n">
        <x:f>F243/F242-1</x:f>
        <x:v>0.026260425117358155</x:v>
      </x:c>
      <x:c r="I243" s="35" t="n">
        <x:f>AVERAGE(F224:F243)</x:f>
        <x:v>205.71753005981446</x:v>
      </x:c>
      <x:c r="J243" s="35" t="n">
        <x:f>AVERAGE(F194:F243)</x:f>
        <x:v>209.8277651977539</x:v>
      </x:c>
      <x:c r="K243" s="33" t="n">
        <x:f>IF(COUNT(I243:J243)=2,IF(I243&gt;J243,1,0),0)</x:f>
        <x:v>0</x:v>
      </x:c>
      <x:c r="L243" s="33" t="n">
        <x:f>K242</x:f>
        <x:v>0</x:v>
      </x:c>
      <x:c r="M243" s="36" t="n">
        <x:f>L243*H243-IF(L243&lt;&gt;L242,'Assumptions'!$B$7+'Assumptions'!$B$8,0)</x:f>
        <x:v>0</x:v>
      </x:c>
      <x:c r="N243" s="37" t="n">
        <x:f>N242*(1+M243)</x:f>
        <x:v>0.9568998358494968</x:v>
      </x:c>
      <x:c r="O243" s="36" t="n">
        <x:f>H243</x:f>
        <x:v>0.026260425117358155</x:v>
      </x:c>
      <x:c r="P243" s="37" t="n">
        <x:f>P242*(1+O243)</x:f>
        <x:v>1.1725608715986209</x:v>
      </x:c>
      <x:c r="Q243" s="34" t="n">
        <x:f>MAX(Q242,N243)</x:f>
        <x:v>1.1333794658330407</x:v>
      </x:c>
      <x:c r="R243" s="38" t="n">
        <x:f>N243/Q243-1</x:f>
        <x:v>-0.15571098233532077</x:v>
      </x:c>
      <x:c r="S243" s="39" t="n">
        <x:f>MAX(S242,P243)</x:f>
        <x:v>1.379867690943033</x:v>
      </x:c>
      <x:c r="T243" s="38" t="n">
        <x:f>P243/S243-1</x:f>
        <x:v>-0.15023673697492979</x:v>
      </x:c>
      <x:c r="U243" s="33" t="n">
        <x:f>IF(AND(L243=1,L242=0),1,0)</x:f>
        <x:v>0</x:v>
      </x:c>
      <x:c r="V243" s="33" t="n">
        <x:f>IF(AND(L243=0,L242=1),1,0)</x:f>
        <x:v>0</x:v>
      </x:c>
      <x:c r="W243" s="33" t="n">
        <x:f>IF(L243=K242,0,1)</x:f>
        <x:v>0</x:v>
      </x:c>
    </x:row>
    <x:row r="244">
      <x:c r="A244" s="29" t="n">
        <x:v>46204.5625</x:v>
      </x:c>
      <x:c r="B244" s="30" t="n">
        <x:v>196.1999969482422</x:v>
      </x:c>
      <x:c r="C244" s="30" t="n">
        <x:v>199.85000610351562</x:v>
      </x:c>
      <x:c r="D244" s="30" t="n">
        <x:v>193.4499969482422</x:v>
      </x:c>
      <x:c r="E244" s="30" t="n">
        <x:v>197.5800018310547</x:v>
      </x:c>
      <x:c r="F244" s="30" t="n">
        <x:v>197.5800018310547</x:v>
      </x:c>
      <x:c r="G244" s="31" t="n">
        <x:v>146147600</x:v>
      </x:c>
      <x:c r="H244" s="32" t="n">
        <x:f>F244/F243-1</x:f>
        <x:v>-0.012544327816355838</x:v>
      </x:c>
      <x:c r="I244" s="35" t="n">
        <x:f>AVERAGE(F225:F244)</x:f>
        <x:v>204.46849975585937</x:v>
      </x:c>
      <x:c r="J244" s="35" t="n">
        <x:f>AVERAGE(F195:F244)</x:f>
        <x:v>209.74286987304689</x:v>
      </x:c>
      <x:c r="K244" s="33" t="n">
        <x:f>IF(COUNT(I244:J244)=2,IF(I244&gt;J244,1,0),0)</x:f>
        <x:v>0</x:v>
      </x:c>
      <x:c r="L244" s="33" t="n">
        <x:f>K243</x:f>
        <x:v>0</x:v>
      </x:c>
      <x:c r="M244" s="36" t="n">
        <x:f>L244*H244-IF(L244&lt;&gt;L243,'Assumptions'!$B$7+'Assumptions'!$B$8,0)</x:f>
        <x:v>0</x:v>
      </x:c>
      <x:c r="N244" s="37" t="n">
        <x:f>N243*(1+M244)</x:f>
        <x:v>0.9568998358494968</x:v>
      </x:c>
      <x:c r="O244" s="36" t="n">
        <x:f>H244</x:f>
        <x:v>-0.012544327816355838</x:v>
      </x:c>
      <x:c r="P244" s="37" t="n">
        <x:f>P243*(1+O244)</x:f>
        <x:v>1.157851883640656</x:v>
      </x:c>
      <x:c r="Q244" s="34" t="n">
        <x:f>MAX(Q243,N244)</x:f>
        <x:v>1.1333794658330407</x:v>
      </x:c>
      <x:c r="R244" s="38" t="n">
        <x:f>N244/Q244-1</x:f>
        <x:v>-0.15571098233532077</x:v>
      </x:c>
      <x:c r="S244" s="39" t="n">
        <x:f>MAX(S243,P244)</x:f>
        <x:v>1.379867690943033</x:v>
      </x:c>
      <x:c r="T244" s="38" t="n">
        <x:f>P244/S244-1</x:f>
        <x:v>-0.16089644591261232</x:v>
      </x:c>
      <x:c r="U244" s="33" t="n">
        <x:f>IF(AND(L244=1,L243=0),1,0)</x:f>
        <x:v>0</x:v>
      </x:c>
      <x:c r="V244" s="33" t="n">
        <x:f>IF(AND(L244=0,L243=1),1,0)</x:f>
        <x:v>0</x:v>
      </x:c>
      <x:c r="W244" s="33" t="n">
        <x:f>IF(L244=K243,0,1)</x:f>
        <x:v>0</x:v>
      </x:c>
    </x:row>
    <x:row r="245">
      <x:c r="A245" s="29" t="n">
        <x:v>46205.5625</x:v>
      </x:c>
      <x:c r="B245" s="30" t="n">
        <x:v>197.13999938964844</x:v>
      </x:c>
      <x:c r="C245" s="30" t="n">
        <x:v>200.05999755859375</x:v>
      </x:c>
      <x:c r="D245" s="30" t="n">
        <x:v>192.35000610351562</x:v>
      </x:c>
      <x:c r="E245" s="30" t="n">
        <x:v>194.8300018310547</x:v>
      </x:c>
      <x:c r="F245" s="30" t="n">
        <x:v>194.8300018310547</x:v>
      </x:c>
      <x:c r="G245" s="31" t="n">
        <x:v>142068700</x:v>
      </x:c>
      <x:c r="H245" s="32" t="n">
        <x:f>F245/F244-1</x:f>
        <x:v>-0.013918412665829716</x:v>
      </x:c>
      <x:c r="I245" s="35" t="n">
        <x:f>AVERAGE(F226:F245)</x:f>
        <x:v>203.4849998474121</x:v>
      </x:c>
      <x:c r="J245" s="35" t="n">
        <x:f>AVERAGE(F196:F245)</x:f>
        <x:v>209.6465234375</x:v>
      </x:c>
      <x:c r="K245" s="33" t="n">
        <x:f>IF(COUNT(I245:J245)=2,IF(I245&gt;J245,1,0),0)</x:f>
        <x:v>0</x:v>
      </x:c>
      <x:c r="L245" s="33" t="n">
        <x:f>K244</x:f>
        <x:v>0</x:v>
      </x:c>
      <x:c r="M245" s="36" t="n">
        <x:f>L245*H245-IF(L245&lt;&gt;L244,'Assumptions'!$B$7+'Assumptions'!$B$8,0)</x:f>
        <x:v>0</x:v>
      </x:c>
      <x:c r="N245" s="37" t="n">
        <x:f>N244*(1+M245)</x:f>
        <x:v>0.9568998358494968</x:v>
      </x:c>
      <x:c r="O245" s="36" t="n">
        <x:f>H245</x:f>
        <x:v>-0.013918412665829716</x:v>
      </x:c>
      <x:c r="P245" s="37" t="n">
        <x:f>P244*(1+O245)</x:f>
        <x:v>1.141736423318237</x:v>
      </x:c>
      <x:c r="Q245" s="34" t="n">
        <x:f>MAX(Q244,N245)</x:f>
        <x:v>1.1333794658330407</x:v>
      </x:c>
      <x:c r="R245" s="38" t="n">
        <x:f>N245/Q245-1</x:f>
        <x:v>-0.15571098233532077</x:v>
      </x:c>
      <x:c r="S245" s="39" t="n">
        <x:f>MAX(S244,P245)</x:f>
        <x:v>1.379867690943033</x:v>
      </x:c>
      <x:c r="T245" s="38" t="n">
        <x:f>P245/S245-1</x:f>
        <x:v>-0.172575435447765</x:v>
      </x:c>
      <x:c r="U245" s="33" t="n">
        <x:f>IF(AND(L245=1,L244=0),1,0)</x:f>
        <x:v>0</x:v>
      </x:c>
      <x:c r="V245" s="33" t="n">
        <x:f>IF(AND(L245=0,L244=1),1,0)</x:f>
        <x:v>0</x:v>
      </x:c>
      <x:c r="W245" s="33" t="n">
        <x:f>IF(L245=K244,0,1)</x:f>
        <x:v>0</x:v>
      </x:c>
    </x:row>
    <x:row r="246">
      <x:c r="A246" s="29" t="n">
        <x:v>46209.5625</x:v>
      </x:c>
      <x:c r="B246" s="30" t="n">
        <x:v>194.4199981689453</x:v>
      </x:c>
      <x:c r="C246" s="30" t="n">
        <x:v>197.5500030517578</x:v>
      </x:c>
      <x:c r="D246" s="30" t="n">
        <x:v>193.99000549316406</x:v>
      </x:c>
      <x:c r="E246" s="30" t="n">
        <x:v>195.5500030517578</x:v>
      </x:c>
      <x:c r="F246" s="30" t="n">
        <x:v>195.5500030517578</x:v>
      </x:c>
      <x:c r="G246" s="31" t="n">
        <x:v>108999000</x:v>
      </x:c>
      <x:c r="H246" s="32" t="n">
        <x:f>F246/F245-1</x:f>
        <x:v>0.0036955356666652506</x:v>
      </x:c>
      <x:c r="I246" s="35" t="n">
        <x:f>AVERAGE(F227:F246)</x:f>
        <x:v>202.32949981689453</x:v>
      </x:c>
      <x:c r="J246" s="35" t="n">
        <x:f>AVERAGE(F197:F246)</x:f>
        <x:v>209.51223815917967</x:v>
      </x:c>
      <x:c r="K246" s="33" t="n">
        <x:f>IF(COUNT(I246:J246)=2,IF(I246&gt;J246,1,0),0)</x:f>
        <x:v>0</x:v>
      </x:c>
      <x:c r="L246" s="33" t="n">
        <x:f>K245</x:f>
        <x:v>0</x:v>
      </x:c>
      <x:c r="M246" s="36" t="n">
        <x:f>L246*H246-IF(L246&lt;&gt;L245,'Assumptions'!$B$7+'Assumptions'!$B$8,0)</x:f>
        <x:v>0</x:v>
      </x:c>
      <x:c r="N246" s="37" t="n">
        <x:f>N245*(1+M246)</x:f>
        <x:v>0.9568998358494968</x:v>
      </x:c>
      <x:c r="O246" s="36" t="n">
        <x:f>H246</x:f>
        <x:v>0.0036955356666652506</x:v>
      </x:c>
      <x:c r="P246" s="37" t="n">
        <x:f>P245*(1+O246)</x:f>
        <x:v>1.1459557509925404</x:v>
      </x:c>
      <x:c r="Q246" s="34" t="n">
        <x:f>MAX(Q245,N246)</x:f>
        <x:v>1.1333794658330407</x:v>
      </x:c>
      <x:c r="R246" s="38" t="n">
        <x:f>N246/Q246-1</x:f>
        <x:v>-0.15571098233532077</x:v>
      </x:c>
      <x:c r="S246" s="39" t="n">
        <x:f>MAX(S245,P246)</x:f>
        <x:v>1.379867690943033</x:v>
      </x:c>
      <x:c r="T246" s="38" t="n">
        <x:f>P246/S246-1</x:f>
        <x:v>-0.16951765845798727</x:v>
      </x:c>
      <x:c r="U246" s="33" t="n">
        <x:f>IF(AND(L246=1,L245=0),1,0)</x:f>
        <x:v>0</x:v>
      </x:c>
      <x:c r="V246" s="33" t="n">
        <x:f>IF(AND(L246=0,L245=1),1,0)</x:f>
        <x:v>0</x:v>
      </x:c>
      <x:c r="W246" s="33" t="n">
        <x:f>IF(L246=K245,0,1)</x:f>
        <x:v>0</x:v>
      </x:c>
    </x:row>
    <x:row r="247">
      <x:c r="A247" s="29" t="n">
        <x:v>46210.5625</x:v>
      </x:c>
      <x:c r="B247" s="30" t="n">
        <x:v>192.3699951171875</x:v>
      </x:c>
      <x:c r="C247" s="30" t="n">
        <x:v>198.41000366210938</x:v>
      </x:c>
      <x:c r="D247" s="30" t="n">
        <x:v>191.13999938964844</x:v>
      </x:c>
      <x:c r="E247" s="30" t="n">
        <x:v>196.92999267578125</x:v>
      </x:c>
      <x:c r="F247" s="30" t="n">
        <x:v>196.92999267578125</x:v>
      </x:c>
      <x:c r="G247" s="31" t="n">
        <x:v>124154600</x:v>
      </x:c>
      <x:c r="H247" s="32" t="n">
        <x:f>F247/F246-1</x:f>
        <x:v>0.007056965494693257</x:v>
      </x:c>
      <x:c r="I247" s="35" t="n">
        <x:f>AVERAGE(F228:F247)</x:f>
        <x:v>201.9209991455078</x:v>
      </x:c>
      <x:c r="J247" s="35" t="n">
        <x:f>AVERAGE(F198:F247)</x:f>
        <x:v>209.46268615722656</x:v>
      </x:c>
      <x:c r="K247" s="33" t="n">
        <x:f>IF(COUNT(I247:J247)=2,IF(I247&gt;J247,1,0),0)</x:f>
        <x:v>0</x:v>
      </x:c>
      <x:c r="L247" s="33" t="n">
        <x:f>K246</x:f>
        <x:v>0</x:v>
      </x:c>
      <x:c r="M247" s="36" t="n">
        <x:f>L247*H247-IF(L247&lt;&gt;L246,'Assumptions'!$B$7+'Assumptions'!$B$8,0)</x:f>
        <x:v>0</x:v>
      </x:c>
      <x:c r="N247" s="37" t="n">
        <x:f>N246*(1+M247)</x:f>
        <x:v>0.9568998358494968</x:v>
      </x:c>
      <x:c r="O247" s="36" t="n">
        <x:f>H247</x:f>
        <x:v>0.007056965494693257</x:v>
      </x:c>
      <x:c r="P247" s="37" t="n">
        <x:f>P246*(1+O247)</x:f>
        <x:v>1.15404272118574</x:v>
      </x:c>
      <x:c r="Q247" s="34" t="n">
        <x:f>MAX(Q246,N247)</x:f>
        <x:v>1.1333794658330407</x:v>
      </x:c>
      <x:c r="R247" s="38" t="n">
        <x:f>N247/Q247-1</x:f>
        <x:v>-0.15571098233532077</x:v>
      </x:c>
      <x:c r="S247" s="39" t="n">
        <x:f>MAX(S246,P247)</x:f>
        <x:v>1.379867690943033</x:v>
      </x:c>
      <x:c r="T247" s="38" t="n">
        <x:f>P247/S247-1</x:f>
        <x:v>-0.16365697322977324</x:v>
      </x:c>
      <x:c r="U247" s="33" t="n">
        <x:f>IF(AND(L247=1,L246=0),1,0)</x:f>
        <x:v>0</x:v>
      </x:c>
      <x:c r="V247" s="33" t="n">
        <x:f>IF(AND(L247=0,L246=1),1,0)</x:f>
        <x:v>0</x:v>
      </x:c>
      <x:c r="W247" s="33" t="n">
        <x:f>IF(L247=K246,0,1)</x:f>
        <x:v>0</x:v>
      </x:c>
    </x:row>
    <x:row r="248">
      <x:c r="A248" s="29" t="n">
        <x:v>46211.5625</x:v>
      </x:c>
      <x:c r="B248" s="30" t="n">
        <x:v>195.17999267578125</x:v>
      </x:c>
      <x:c r="C248" s="30" t="n">
        <x:v>205.16000366210938</x:v>
      </x:c>
      <x:c r="D248" s="30" t="n">
        <x:v>195.05999755859375</x:v>
      </x:c>
      <x:c r="E248" s="30" t="n">
        <x:v>204.1199951171875</x:v>
      </x:c>
      <x:c r="F248" s="30" t="n">
        <x:v>204.1199951171875</x:v>
      </x:c>
      <x:c r="G248" s="31" t="n">
        <x:v>147419100</x:v>
      </x:c>
      <x:c r="H248" s="32" t="n">
        <x:f>F248/F247-1</x:f>
        <x:v>0.03651044893523969</x:v>
      </x:c>
      <x:c r="I248" s="35" t="n">
        <x:f>AVERAGE(F229:F248)</x:f>
        <x:v>201.69499893188475</x:v>
      </x:c>
      <x:c r="J248" s="35" t="n">
        <x:f>AVERAGE(F199:F248)</x:f>
        <x:v>209.38453521728516</x:v>
      </x:c>
      <x:c r="K248" s="33" t="n">
        <x:f>IF(COUNT(I248:J248)=2,IF(I248&gt;J248,1,0),0)</x:f>
        <x:v>0</x:v>
      </x:c>
      <x:c r="L248" s="33" t="n">
        <x:f>K247</x:f>
        <x:v>0</x:v>
      </x:c>
      <x:c r="M248" s="36" t="n">
        <x:f>L248*H248-IF(L248&lt;&gt;L247,'Assumptions'!$B$7+'Assumptions'!$B$8,0)</x:f>
        <x:v>0</x:v>
      </x:c>
      <x:c r="N248" s="37" t="n">
        <x:f>N247*(1+M248)</x:f>
        <x:v>0.9568998358494968</x:v>
      </x:c>
      <x:c r="O248" s="36" t="n">
        <x:f>H248</x:f>
        <x:v>0.03651044893523969</x:v>
      </x:c>
      <x:c r="P248" s="37" t="n">
        <x:f>P247*(1+O248)</x:f>
        <x:v>1.196177339026677</x:v>
      </x:c>
      <x:c r="Q248" s="34" t="n">
        <x:f>MAX(Q247,N248)</x:f>
        <x:v>1.1333794658330407</x:v>
      </x:c>
      <x:c r="R248" s="38" t="n">
        <x:f>N248/Q248-1</x:f>
        <x:v>-0.15571098233532077</x:v>
      </x:c>
      <x:c r="S248" s="39" t="n">
        <x:f>MAX(S247,P248)</x:f>
        <x:v>1.379867690943033</x:v>
      </x:c>
      <x:c r="T248" s="38" t="n">
        <x:f>P248/S248-1</x:f>
        <x:v>-0.1331217138585351</x:v>
      </x:c>
      <x:c r="U248" s="33" t="n">
        <x:f>IF(AND(L248=1,L247=0),1,0)</x:f>
        <x:v>0</x:v>
      </x:c>
      <x:c r="V248" s="33" t="n">
        <x:f>IF(AND(L248=0,L247=1),1,0)</x:f>
        <x:v>0</x:v>
      </x:c>
      <x:c r="W248" s="33" t="n">
        <x:f>IF(L248=K247,0,1)</x:f>
        <x:v>0</x:v>
      </x:c>
    </x:row>
    <x:row r="249">
      <x:c r="A249" s="29" t="n">
        <x:v>46212.5625</x:v>
      </x:c>
      <x:c r="B249" s="30" t="n">
        <x:v>204.4600067138672</x:v>
      </x:c>
      <x:c r="C249" s="30" t="n">
        <x:v>204.58999633789062</x:v>
      </x:c>
      <x:c r="D249" s="30" t="n">
        <x:v>198.9600067138672</x:v>
      </x:c>
      <x:c r="E249" s="30" t="n">
        <x:v>202.77999877929688</x:v>
      </x:c>
      <x:c r="F249" s="30" t="n">
        <x:v>202.77999877929688</x:v>
      </x:c>
      <x:c r="G249" s="31" t="n">
        <x:v>132037400</x:v>
      </x:c>
      <x:c r="H249" s="32" t="n">
        <x:f>F249/F248-1</x:f>
        <x:v>-0.006564748040099211</x:v>
      </x:c>
      <x:c r="I249" s="35" t="n">
        <x:f>AVERAGE(F230:F249)</x:f>
        <x:v>201.42449874877929</x:v>
      </x:c>
      <x:c r="J249" s="35" t="n">
        <x:f>AVERAGE(F200:F249)</x:f>
        <x:v>209.112978515625</x:v>
      </x:c>
      <x:c r="K249" s="33" t="n">
        <x:f>IF(COUNT(I249:J249)=2,IF(I249&gt;J249,1,0),0)</x:f>
        <x:v>0</x:v>
      </x:c>
      <x:c r="L249" s="33" t="n">
        <x:f>K248</x:f>
        <x:v>0</x:v>
      </x:c>
      <x:c r="M249" s="36" t="n">
        <x:f>L249*H249-IF(L249&lt;&gt;L248,'Assumptions'!$B$7+'Assumptions'!$B$8,0)</x:f>
        <x:v>0</x:v>
      </x:c>
      <x:c r="N249" s="37" t="n">
        <x:f>N248*(1+M249)</x:f>
        <x:v>0.9568998358494968</x:v>
      </x:c>
      <x:c r="O249" s="36" t="n">
        <x:f>H249</x:f>
        <x:v>-0.006564748040099211</x:v>
      </x:c>
      <x:c r="P249" s="37" t="n">
        <x:f>P248*(1+O249)</x:f>
        <x:v>1.1883247361846905</x:v>
      </x:c>
      <x:c r="Q249" s="34" t="n">
        <x:f>MAX(Q248,N249)</x:f>
        <x:v>1.1333794658330407</x:v>
      </x:c>
      <x:c r="R249" s="38" t="n">
        <x:f>N249/Q249-1</x:f>
        <x:v>-0.15571098233532077</x:v>
      </x:c>
      <x:c r="S249" s="39" t="n">
        <x:f>MAX(S248,P249)</x:f>
        <x:v>1.379867690943033</x:v>
      </x:c>
      <x:c r="T249" s="38" t="n">
        <x:f>P249/S249-1</x:f>
        <x:v>-0.13881255138848692</x:v>
      </x:c>
      <x:c r="U249" s="33" t="n">
        <x:f>IF(AND(L249=1,L248=0),1,0)</x:f>
        <x:v>0</x:v>
      </x:c>
      <x:c r="V249" s="33" t="n">
        <x:f>IF(AND(L249=0,L248=1),1,0)</x:f>
        <x:v>0</x:v>
      </x:c>
      <x:c r="W249" s="33" t="n">
        <x:f>IF(L249=K248,0,1)</x:f>
        <x:v>0</x:v>
      </x:c>
    </x:row>
    <x:row r="250">
      <x:c r="A250" s="29" t="n">
        <x:v>46213.5625</x:v>
      </x:c>
      <x:c r="B250" s="30" t="n">
        <x:v>202</x:v>
      </x:c>
      <x:c r="C250" s="30" t="n">
        <x:v>211</x:v>
      </x:c>
      <x:c r="D250" s="30" t="n">
        <x:v>201.9199981689453</x:v>
      </x:c>
      <x:c r="E250" s="30" t="n">
        <x:v>210.9600067138672</x:v>
      </x:c>
      <x:c r="F250" s="30" t="n">
        <x:v>210.9600067138672</x:v>
      </x:c>
      <x:c r="G250" s="31" t="n">
        <x:v>148421000</x:v>
      </x:c>
      <x:c r="H250" s="32" t="n">
        <x:f>F250/F249-1</x:f>
        <x:v>0.04033932332484791</x:v>
      </x:c>
      <x:c r="I250" s="35" t="n">
        <x:f>AVERAGE(F231:F250)</x:f>
        <x:v>201.95149917602538</x:v>
      </x:c>
      <x:c r="J250" s="35" t="n">
        <x:f>AVERAGE(F201:F250)</x:f>
        <x:v>209.0737417602539</x:v>
      </x:c>
      <x:c r="K250" s="33" t="n">
        <x:f>IF(COUNT(I250:J250)=2,IF(I250&gt;J250,1,0),0)</x:f>
        <x:v>0</x:v>
      </x:c>
      <x:c r="L250" s="33" t="n">
        <x:f>K249</x:f>
        <x:v>0</x:v>
      </x:c>
      <x:c r="M250" s="36" t="n">
        <x:f>L250*H250-IF(L250&lt;&gt;L249,'Assumptions'!$B$7+'Assumptions'!$B$8,0)</x:f>
        <x:v>0</x:v>
      </x:c>
      <x:c r="N250" s="37" t="n">
        <x:f>N249*(1+M250)</x:f>
        <x:v>0.9568998358494968</x:v>
      </x:c>
      <x:c r="O250" s="36" t="n">
        <x:f>H250</x:f>
        <x:v>0.04033932332484791</x:v>
      </x:c>
      <x:c r="P250" s="37" t="n">
        <x:f>P249*(1+O250)</x:f>
        <x:v>1.2362609519325594</x:v>
      </x:c>
      <x:c r="Q250" s="34" t="n">
        <x:f>MAX(Q249,N250)</x:f>
        <x:v>1.1333794658330407</x:v>
      </x:c>
      <x:c r="R250" s="38" t="n">
        <x:f>N250/Q250-1</x:f>
        <x:v>-0.15571098233532077</x:v>
      </x:c>
      <x:c r="S250" s="39" t="n">
        <x:f>MAX(S249,P250)</x:f>
        <x:v>1.379867690943033</x:v>
      </x:c>
      <x:c r="T250" s="38" t="n">
        <x:f>P250/S250-1</x:f>
        <x:v>-0.10407283245564614</x:v>
      </x:c>
      <x:c r="U250" s="33" t="n">
        <x:f>IF(AND(L250=1,L249=0),1,0)</x:f>
        <x:v>0</x:v>
      </x:c>
      <x:c r="V250" s="33" t="n">
        <x:f>IF(AND(L250=0,L249=1),1,0)</x:f>
        <x:v>0</x:v>
      </x:c>
      <x:c r="W250" s="33" t="n">
        <x:f>IF(L250=K249,0,1)</x:f>
        <x:v>0</x:v>
      </x:c>
    </x:row>
    <x:row r="251">
      <x:c r="A251" s="29" t="n">
        <x:v>46216.5625</x:v>
      </x:c>
      <x:c r="B251" s="30" t="n">
        <x:v>208.5399932861328</x:v>
      </x:c>
      <x:c r="C251" s="30" t="n">
        <x:v>210.57000732421875</x:v>
      </x:c>
      <x:c r="D251" s="30" t="n">
        <x:v>203</x:v>
      </x:c>
      <x:c r="E251" s="30" t="n">
        <x:v>203.52999877929688</x:v>
      </x:c>
      <x:c r="F251" s="30" t="n">
        <x:v>203.52999877929688</x:v>
      </x:c>
      <x:c r="G251" s="31" t="n">
        <x:v>121411000</x:v>
      </x:c>
      <x:c r="H251" s="32" t="n">
        <x:f>F251/F250-1</x:f>
        <x:v>-0.03521998340020871</x:v>
      </x:c>
      <x:c r="I251" s="35" t="n">
        <x:f>AVERAGE(F232:F251)</x:f>
        <x:v>201.88449935913087</x:v>
      </x:c>
      <x:c r="J251" s="35" t="n">
        <x:f>AVERAGE(F202:F251)</x:f>
        <x:v>208.9642135620117</x:v>
      </x:c>
      <x:c r="K251" s="33" t="n">
        <x:f>IF(COUNT(I251:J251)=2,IF(I251&gt;J251,1,0),0)</x:f>
        <x:v>0</x:v>
      </x:c>
      <x:c r="L251" s="33" t="n">
        <x:f>K250</x:f>
        <x:v>0</x:v>
      </x:c>
      <x:c r="M251" s="36" t="n">
        <x:f>L251*H251-IF(L251&lt;&gt;L250,'Assumptions'!$B$7+'Assumptions'!$B$8,0)</x:f>
        <x:v>0</x:v>
      </x:c>
      <x:c r="N251" s="37" t="n">
        <x:f>N250*(1+M251)</x:f>
        <x:v>0.9568998358494968</x:v>
      </x:c>
      <x:c r="O251" s="36" t="n">
        <x:f>H251</x:f>
        <x:v>-0.03521998340020871</x:v>
      </x:c>
      <x:c r="P251" s="37" t="n">
        <x:f>P250*(1+O251)</x:f>
        <x:v>1.1927198617271684</x:v>
      </x:c>
      <x:c r="Q251" s="34" t="n">
        <x:f>MAX(Q250,N251)</x:f>
        <x:v>1.1333794658330407</x:v>
      </x:c>
      <x:c r="R251" s="38" t="n">
        <x:f>N251/Q251-1</x:f>
        <x:v>-0.15571098233532077</x:v>
      </x:c>
      <x:c r="S251" s="39" t="n">
        <x:f>MAX(S250,P251)</x:f>
        <x:v>1.379867690943033</x:v>
      </x:c>
      <x:c r="T251" s="38" t="n">
        <x:f>P251/S251-1</x:f>
        <x:v>-0.1356273724243543</x:v>
      </x:c>
      <x:c r="U251" s="33" t="n">
        <x:f>IF(AND(L251=1,L250=0),1,0)</x:f>
        <x:v>0</x:v>
      </x:c>
      <x:c r="V251" s="33" t="n">
        <x:f>IF(AND(L251=0,L250=1),1,0)</x:f>
        <x:v>0</x:v>
      </x:c>
      <x:c r="W251" s="33" t="n">
        <x:f>IF(L251=K250,0,1)</x:f>
        <x:v>0</x:v>
      </x:c>
    </x:row>
  </x:sheetData>
  <x:conditionalFormatting sqref="R2:R251">
    <x:cfRule type="cellIs" dxfId="0" priority="1" operator="lessThan">
      <x:formula>0</x:formula>
    </x:cfRule>
  </x:conditionalFormatting>
  <x:conditionalFormatting sqref="T2:T251">
    <x:cfRule type="cellIs" dxfId="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923fcd7c6b345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0" hidden="0" customWidth="1"/>
  </x:cols>
  <x:sheetData>
    <x:row r="1" ht="28" customHeight="1">
      <x:c r="A1" s="2" t="str">
        <x:v> 백테스트 검증</x:v>
      </x:c>
      <x:c r="B1" s="2"/>
      <x:c r="C1" s="2"/>
      <x:c r="D1" s="2"/>
      <x:c r="E1" s="2"/>
      <x:c r="F1" s="2"/>
      <x:c r="G1" s="2"/>
    </x:row>
    <x:row r="3">
      <x:c r="A3" s="6" t="str">
        <x:v>검증 항목</x:v>
      </x:c>
      <x:c r="B3" s="6" t="str">
        <x:v>실제</x:v>
      </x:c>
      <x:c r="C3" s="6" t="str">
        <x:v>기대값</x:v>
      </x:c>
      <x:c r="D3" s="6" t="str">
        <x:v>차이</x:v>
      </x:c>
      <x:c r="E3" s="6" t="str">
        <x:v>허용오차</x:v>
      </x:c>
      <x:c r="F3" s="6" t="str">
        <x:v>상태</x:v>
      </x:c>
      <x:c r="G3" s="6" t="str">
        <x:v>메모</x:v>
      </x:c>
    </x:row>
    <x:row r="4">
      <x:c r="A4" s="59" t="str">
        <x:v>매수 후 보유 총수익률</x:v>
      </x:c>
      <x:c r="B4" s="84" t="n">
        <x:f>'Summary'!$B$7</x:f>
        <x:v>0.19271986172716837</x:v>
      </x:c>
      <x:c r="C4" s="85" t="n">
        <x:v>0.19271986172716837</x:v>
      </x:c>
      <x:c r="D4" s="85" t="n">
        <x:f>B4-C4</x:f>
        <x:v>0</x:v>
      </x:c>
      <x:c r="E4" s="85" t="n">
        <x:v>0.000001</x:v>
      </x:c>
      <x:c r="F4" s="60" t="str">
        <x:f>IF(ABS(D4)&lt;=E4,"OK","FAIL")</x:f>
        <x:v>OK</x:v>
      </x:c>
      <x:c r="G4" s="61" t="str">
        <x:v>JS 독립 계산과 Excel 수식 비교</x:v>
      </x:c>
    </x:row>
    <x:row r="5">
      <x:c r="A5" s="20" t="str">
        <x:v>SMA 총수익률</x:v>
      </x:c>
      <x:c r="B5" s="86" t="n">
        <x:f>'Summary'!$B$8</x:f>
        <x:v>-0.04310016415050322</x:v>
      </x:c>
      <x:c r="C5" s="87" t="n">
        <x:v>-0.04310016415050322</x:v>
      </x:c>
      <x:c r="D5" s="87" t="n">
        <x:f>B5-C5</x:f>
        <x:v>0</x:v>
      </x:c>
      <x:c r="E5" s="87" t="n">
        <x:v>0.000001</x:v>
      </x:c>
      <x:c r="F5" s="82" t="str">
        <x:f>IF(ABS(D5)&lt;=E5,"OK","FAIL")</x:f>
        <x:v>OK</x:v>
      </x:c>
      <x:c r="G5" s="21" t="str">
        <x:v>JS 독립 계산과 Excel 수식 비교</x:v>
      </x:c>
    </x:row>
    <x:row r="6">
      <x:c r="A6" s="20" t="str">
        <x:v>매수 후 보유 최대낙폭</x:v>
      </x:c>
      <x:c r="B6" s="86" t="n">
        <x:f>'Summary'!$F$7</x:f>
        <x:v>-0.20214385493927078</x:v>
      </x:c>
      <x:c r="C6" s="87" t="n">
        <x:v>-0.20214385493927078</x:v>
      </x:c>
      <x:c r="D6" s="87" t="n">
        <x:f>B6-C6</x:f>
        <x:v>0</x:v>
      </x:c>
      <x:c r="E6" s="87" t="n">
        <x:v>0.000001</x:v>
      </x:c>
      <x:c r="F6" s="82" t="str">
        <x:f>IF(ABS(D6)&lt;=E6,"OK","FAIL")</x:f>
        <x:v>OK</x:v>
      </x:c>
      <x:c r="G6" s="21" t="str">
        <x:v>JS 독립 계산과 Excel 수식 비교</x:v>
      </x:c>
    </x:row>
    <x:row r="7">
      <x:c r="A7" s="20" t="str">
        <x:v>SMA 최대낙폭</x:v>
      </x:c>
      <x:c r="B7" s="86" t="n">
        <x:f>'Summary'!$F$8</x:f>
        <x:v>-0.19624574123131566</x:v>
      </x:c>
      <x:c r="C7" s="87" t="n">
        <x:v>-0.19624574123131566</x:v>
      </x:c>
      <x:c r="D7" s="87" t="n">
        <x:f>B7-C7</x:f>
        <x:v>0</x:v>
      </x:c>
      <x:c r="E7" s="87" t="n">
        <x:v>0.000001</x:v>
      </x:c>
      <x:c r="F7" s="82" t="str">
        <x:f>IF(ABS(D7)&lt;=E7,"OK","FAIL")</x:f>
        <x:v>OK</x:v>
      </x:c>
      <x:c r="G7" s="21" t="str">
        <x:v>JS 독립 계산과 Excel 수식 비교</x:v>
      </x:c>
    </x:row>
    <x:row r="8">
      <x:c r="A8" s="20" t="str">
        <x:v>거래일 수</x:v>
      </x:c>
      <x:c r="B8" s="16" t="n">
        <x:f>COUNT('Data'!$A$2:$A$251)</x:f>
        <x:v>250</x:v>
      </x:c>
      <x:c r="C8" s="82" t="n">
        <x:v>250</x:v>
      </x:c>
      <x:c r="D8" s="82" t="n">
        <x:f>B8-C8</x:f>
        <x:v>0</x:v>
      </x:c>
      <x:c r="E8" s="82" t="n">
        <x:v>0</x:v>
      </x:c>
      <x:c r="F8" s="82" t="str">
        <x:f>IF(ABS(D8)&lt;=E8,"OK","FAIL")</x:f>
        <x:v>OK</x:v>
      </x:c>
      <x:c r="G8" s="21" t="str">
        <x:v>원천 데이터 행 수</x:v>
      </x:c>
    </x:row>
    <x:row r="9">
      <x:c r="A9" s="20" t="str">
        <x:v>첫 날짜</x:v>
      </x:c>
      <x:c r="B9" s="88" t="n">
        <x:f>'Data'!$A$2</x:f>
        <x:v>45853.5625</x:v>
      </x:c>
      <x:c r="C9" s="29" t="n">
        <x:v>45853.5625</x:v>
      </x:c>
      <x:c r="D9" s="33" t="n">
        <x:f>B9-C9</x:f>
        <x:v>0</x:v>
      </x:c>
      <x:c r="E9" s="33" t="n">
        <x:v>0</x:v>
      </x:c>
      <x:c r="F9" s="82" t="str">
        <x:f>IF(ABS(D9)&lt;=E9,"OK","FAIL")</x:f>
        <x:v>OK</x:v>
      </x:c>
      <x:c r="G9" s="21" t="str">
        <x:v>조회 구간 첫 거래일</x:v>
      </x:c>
    </x:row>
    <x:row r="10">
      <x:c r="A10" s="20" t="str">
        <x:v>마지막 날짜</x:v>
      </x:c>
      <x:c r="B10" s="88" t="n">
        <x:f>'Data'!$A$251</x:f>
        <x:v>46216.5625</x:v>
      </x:c>
      <x:c r="C10" s="29" t="n">
        <x:v>46216.5625</x:v>
      </x:c>
      <x:c r="D10" s="33" t="n">
        <x:f>B10-C10</x:f>
        <x:v>0</x:v>
      </x:c>
      <x:c r="E10" s="33" t="n">
        <x:v>0</x:v>
      </x:c>
      <x:c r="F10" s="82" t="str">
        <x:f>IF(ABS(D10)&lt;=E10,"OK","FAIL")</x:f>
        <x:v>OK</x:v>
      </x:c>
      <x:c r="G10" s="21" t="str">
        <x:v>가장 최근 완료 거래일</x:v>
      </x:c>
    </x:row>
    <x:row r="11">
      <x:c r="A11" s="22" t="str">
        <x:v>신호 익일 적용 불일치</x:v>
      </x:c>
      <x:c r="B11" s="83" t="n">
        <x:f>SUM('Data'!$W$3:$W$251)</x:f>
        <x:v>0</x:v>
      </x:c>
      <x:c r="C11" s="62" t="n">
        <x:v>0</x:v>
      </x:c>
      <x:c r="D11" s="62" t="n">
        <x:f>B11-C11</x:f>
        <x:v>0</x:v>
      </x:c>
      <x:c r="E11" s="62" t="n">
        <x:v>0</x:v>
      </x:c>
      <x:c r="F11" s="62" t="str">
        <x:f>IF(ABS(D11)&lt;=E11,"OK","FAIL")</x:f>
        <x:v>OK</x:v>
      </x:c>
      <x:c r="G11" s="24" t="str">
        <x:v>Position(t) = Signal(t-1) 확인</x:v>
      </x:c>
    </x:row>
    <x:row r="13">
      <x:c r="A13" s="50" t="str">
        <x:v>전체 모델 상태</x:v>
      </x:c>
      <x:c r="B13" s="51"/>
      <x:c r="C13" s="51"/>
      <x:c r="D13" s="51"/>
      <x:c r="E13" s="51"/>
      <x:c r="F13" s="89" t="str">
        <x:f>IF(COUNTIF(F4:F11,"OK")=8,"OK","FAIL")</x:f>
        <x:v>OK</x:v>
      </x:c>
    </x:row>
  </x:sheetData>
  <x:mergeCells>
    <x:mergeCell ref="A1:G1"/>
    <x:mergeCell ref="A13:E13"/>
  </x:mergeCells>
  <x:conditionalFormatting sqref="F4:F13">
    <x:cfRule type="containsText" dxfId="4" priority="1" operator="containsText" text="OK"/>
    <x:cfRule type="containsText" dxfId="5" priority="2" operator="containsText" text="FAIL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" hidden="0" customWidth="1"/>
    <x:col min="3" max="3" width="28" hidden="0" customWidth="1"/>
    <x:col min="4" max="4" width="18" hidden="0" customWidth="1"/>
    <x:col min="5" max="5" width="58" hidden="0" customWidth="1"/>
    <x:col min="6" max="6" width="52" hidden="0" customWidth="1"/>
  </x:cols>
  <x:sheetData>
    <x:row r="1" ht="28" customHeight="1">
      <x:c r="A1" s="2" t="str">
        <x:v> 출처 및 감사 기록</x:v>
      </x:c>
      <x:c r="B1" s="2"/>
      <x:c r="C1" s="2"/>
      <x:c r="D1" s="2"/>
      <x:c r="E1" s="2"/>
      <x:c r="F1" s="2"/>
    </x:row>
    <x:row r="3">
      <x:c r="A3" s="6" t="str">
        <x:v>항목</x:v>
      </x:c>
      <x:c r="B3" s="6" t="str">
        <x:v>티커</x:v>
      </x:c>
      <x:c r="C3" s="6" t="str">
        <x:v>기간/조회일</x:v>
      </x:c>
      <x:c r="D3" s="6" t="str">
        <x:v>출처</x:v>
      </x:c>
      <x:c r="E3" s="6" t="str">
        <x:v>URL</x:v>
      </x:c>
      <x:c r="F3" s="6" t="str">
        <x:v>메모</x:v>
      </x:c>
    </x:row>
    <x:row r="4" ht="52" customHeight="1">
      <x:c r="A4" s="99" t="str">
        <x:v>일별 OHLCV 및 조정종가</x:v>
      </x:c>
      <x:c r="B4" s="100" t="str">
        <x:v>NVDA</x:v>
      </x:c>
      <x:c r="C4" s="100" t="str">
        <x:v>2025-07-15 ~ 2026-07-13</x:v>
      </x:c>
      <x:c r="D4" s="100" t="str">
        <x:v>Yahoo Finance</x:v>
      </x:c>
      <x:c r="E4" s="108" t="str">
        <x:v>https://query1.finance.yahoo.com/v8/finance/chart/NVDA?range=1y&amp;interval=1d&amp;events=div%2Csplits&amp;includeAdjustedClose=true</x:v>
      </x:c>
      <x:c r="F4" s="101" t="str">
        <x:v>250개 완료 거래일. 통화 USD. 거래소 NasdaqGS</x:v>
      </x:c>
    </x:row>
    <x:row r="5" ht="52" customHeight="1">
      <x:c r="A5" s="102" t="str">
        <x:v>사람이 확인 가능한 가격 이력 페이지</x:v>
      </x:c>
      <x:c r="B5" s="103" t="str">
        <x:v>NVDA</x:v>
      </x:c>
      <x:c r="C5" s="103" t="str">
        <x:v>UTC 2026-07-15T08:59:15.806Z</x:v>
      </x:c>
      <x:c r="D5" s="103" t="str">
        <x:v>Yahoo Finance</x:v>
      </x:c>
      <x:c r="E5" s="109" t="str">
        <x:v>https://finance.yahoo.com/quote/NVDA/history/</x:v>
      </x:c>
      <x:c r="F5" s="104" t="str">
        <x:v>CSV 원천 데이터의 브라우저 확인용 링크</x:v>
      </x:c>
    </x:row>
    <x:row r="6" ht="52" customHeight="1">
      <x:c r="A6" s="105" t="str">
        <x:v>백테스트 방법론</x:v>
      </x:c>
      <x:c r="B6" s="106" t="str">
        <x:v>NVDA</x:v>
      </x:c>
      <x:c r="C6" s="106" t="str">
        <x:v>UTC 2026-07-15T08:59:15.806Z</x:v>
      </x:c>
      <x:c r="D6" s="106" t="str">
        <x:v>로컬 계산</x:v>
      </x:c>
      <x:c r="E6" s="106" t="str"/>
      <x:c r="F6" s="107" t="str">
        <x:v>조정종가 SMA 교차, 종가 신호를 다음 거래일부터 적용, 편도 비용 0.10%</x:v>
      </x:c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d5d2cc90578e4ad6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</x:cols>
  <x:sheetData>
    <x:row r="1">
      <x:c r="A1" s="5" t="str">
        <x:v>월</x:v>
      </x:c>
      <x:c r="B1" s="5" t="str">
        <x:v>매수 후 보유</x:v>
      </x:c>
      <x:c r="C1" s="5" t="str">
        <x:v>SMA 20/50</x:v>
      </x:c>
    </x:row>
    <x:row r="2">
      <x:c r="A2" t="str">
        <x:v>2025-07</x:v>
      </x:c>
      <x:c r="B2" s="37" t="n">
        <x:f>'Data'!$P$14</x:f>
        <x:v>1.0409615025445051</x:v>
      </x:c>
      <x:c r="C2" s="37" t="n">
        <x:f>'Data'!$N$14</x:f>
        <x:v>1</x:v>
      </x:c>
    </x:row>
    <x:row r="3">
      <x:c r="A3" t="str">
        <x:v>2025-08</x:v>
      </x:c>
      <x:c r="B3" s="37" t="n">
        <x:f>'Data'!$P$35</x:f>
        <x:v>1.0193661740861064</x:v>
      </x:c>
      <x:c r="C3" s="37" t="n">
        <x:f>'Data'!$N$35</x:f>
        <x:v>1</x:v>
      </x:c>
    </x:row>
    <x:row r="4">
      <x:c r="A4" t="str">
        <x:v>2025-09</x:v>
      </x:c>
      <x:c r="B4" s="37" t="n">
        <x:f>'Data'!$P$56</x:f>
        <x:v>1.09199725110241</x:v>
      </x:c>
      <x:c r="C4" s="37" t="n">
        <x:f>'Data'!$N$56</x:f>
        <x:v>1</x:v>
      </x:c>
    </x:row>
    <x:row r="5">
      <x:c r="A5" t="str">
        <x:v>2025-10</x:v>
      </x:c>
      <x:c r="B5" s="37" t="n">
        <x:f>'Data'!$P$79</x:f>
        <x:v>1.1851137872282913</x:v>
      </x:c>
      <x:c r="C5" s="37" t="n">
        <x:f>'Data'!$N$79</x:f>
        <x:v>1.078164588802621</x:v>
      </x:c>
    </x:row>
    <x:row r="6">
      <x:c r="A6" t="str">
        <x:v>2025-11</x:v>
      </x:c>
      <x:c r="B6" s="37" t="n">
        <x:f>'Data'!$P$98</x:f>
        <x:v>1.0359283720226657</x:v>
      </x:c>
      <x:c r="C6" s="37" t="n">
        <x:f>'Data'!$N$98</x:f>
        <x:v>0.942442235747642</x:v>
      </x:c>
    </x:row>
    <x:row r="7">
      <x:c r="A7" t="str">
        <x:v>2025-12</x:v>
      </x:c>
      <x:c r="B7" s="37" t="n">
        <x:f>'Data'!$P$120</x:f>
        <x:v>1.0915898578738237</x:v>
      </x:c>
      <x:c r="C7" s="37" t="n">
        <x:f>'Data'!$N$120</x:f>
        <x:v>0.9652234412678046</x:v>
      </x:c>
    </x:row>
    <x:row r="8">
      <x:c r="A8" t="str">
        <x:v>2026-01</x:v>
      </x:c>
      <x:c r="B8" s="37" t="n">
        <x:f>'Data'!$P$140</x:f>
        <x:v>1.118689376451998</x:v>
      </x:c>
      <x:c r="C8" s="37" t="n">
        <x:f>'Data'!$N$140</x:f>
        <x:v>0.985286599761753</x:v>
      </x:c>
    </x:row>
    <x:row r="9">
      <x:c r="A9" t="str">
        <x:v>2026-02</x:v>
      </x:c>
      <x:c r="B9" s="37" t="n">
        <x:f>'Data'!$P$159</x:f>
        <x:v>1.0370981521403975</x:v>
      </x:c>
      <x:c r="C9" s="37" t="n">
        <x:f>'Data'!$N$159</x:f>
        <x:v>0.9134250610142046</x:v>
      </x:c>
    </x:row>
    <x:row r="10">
      <x:c r="A10" t="str">
        <x:v>2026-03</x:v>
      </x:c>
      <x:c r="B10" s="37" t="n">
        <x:f>'Data'!$P$181</x:f>
        <x:v>1.0208234364755475</x:v>
      </x:c>
      <x:c r="C10" s="37" t="n">
        <x:f>'Data'!$N$181</x:f>
        <x:v>0.9745582896912204</x:v>
      </x:c>
    </x:row>
    <x:row r="11">
      <x:c r="A11" t="str">
        <x:v>2026-04</x:v>
      </x:c>
      <x:c r="B11" s="37" t="n">
        <x:f>'Data'!$P$202</x:f>
        <x:v>1.1681521543593152</x:v>
      </x:c>
      <x:c r="C11" s="37" t="n">
        <x:f>'Data'!$N$202</x:f>
        <x:v>0.959483052911147</x:v>
      </x:c>
    </x:row>
    <x:row r="12">
      <x:c r="A12" t="str">
        <x:v>2026-05</x:v>
      </x:c>
      <x:c r="B12" s="37" t="n">
        <x:f>'Data'!$P$222</x:f>
        <x:v>1.235875376954142</x:v>
      </x:c>
      <x:c r="C12" s="37" t="n">
        <x:f>'Data'!$N$222</x:f>
        <x:v>1.0151087555439546</x:v>
      </x:c>
    </x:row>
    <x:row r="13">
      <x:c r="A13" t="str">
        <x:v>2026-06</x:v>
      </x:c>
      <x:c r="B13" s="37" t="n">
        <x:f>'Data'!$P$243</x:f>
        <x:v>1.1725608715986209</x:v>
      </x:c>
      <x:c r="C13" s="37" t="n">
        <x:f>'Data'!$N$243</x:f>
        <x:v>0.9568998358494968</x:v>
      </x:c>
    </x:row>
    <x:row r="14">
      <x:c r="A14" t="str">
        <x:v>2026-07</x:v>
      </x:c>
      <x:c r="B14" s="37" t="n">
        <x:f>'Data'!$P$251</x:f>
        <x:v>1.1927198617271684</x:v>
      </x:c>
      <x:c r="C14" s="37" t="n">
        <x:f>'Data'!$N$251</x:f>
        <x:v>0.9568998358494968</x:v>
      </x:c>
    </x:row>
  </x:sheetData>
  <x:pageMargins left="0.7" right="0.7" top="0.75" bottom="0.75" header="0.3" footer="0.3"/>
</x:worksheet>
</file>